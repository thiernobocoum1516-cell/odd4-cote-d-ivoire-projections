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SD\Desktop\"/>
    </mc:Choice>
  </mc:AlternateContent>
  <xr:revisionPtr revIDLastSave="0" documentId="8_{57D81678-952C-4712-BD60-BCC484A3BDC6}" xr6:coauthVersionLast="47" xr6:coauthVersionMax="47" xr10:uidLastSave="{00000000-0000-0000-0000-000000000000}"/>
  <bookViews>
    <workbookView xWindow="-110" yWindow="-110" windowWidth="19420" windowHeight="10300" activeTab="2" xr2:uid="{9F938A93-2F3D-4B4F-8E6A-1BBE33EE6730}"/>
  </bookViews>
  <sheets>
    <sheet name="Données" sheetId="4" r:id="rId1"/>
    <sheet name="Projection" sheetId="3" r:id="rId2"/>
    <sheet name="Synthèse" sheetId="6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6" i="4" l="1"/>
  <c r="Q166" i="4"/>
  <c r="R166" i="4"/>
  <c r="S166" i="4"/>
  <c r="T166" i="4"/>
  <c r="U166" i="4"/>
  <c r="V166" i="4"/>
  <c r="W166" i="4"/>
  <c r="X166" i="4"/>
  <c r="Y166" i="4"/>
  <c r="P143" i="4"/>
  <c r="Q143" i="4"/>
  <c r="R143" i="4"/>
  <c r="S143" i="4"/>
  <c r="T143" i="4"/>
  <c r="U143" i="4"/>
  <c r="V143" i="4"/>
  <c r="W143" i="4"/>
  <c r="X143" i="4"/>
  <c r="Y143" i="4"/>
  <c r="Q46" i="4"/>
  <c r="R46" i="4"/>
  <c r="S46" i="4"/>
  <c r="T46" i="4"/>
  <c r="U46" i="4"/>
  <c r="V46" i="4"/>
  <c r="W46" i="4"/>
  <c r="X46" i="4"/>
  <c r="Y46" i="4"/>
  <c r="P46" i="4"/>
  <c r="Q215" i="4"/>
  <c r="R215" i="4"/>
  <c r="S215" i="4"/>
  <c r="T215" i="4"/>
  <c r="U215" i="4"/>
  <c r="V215" i="4"/>
  <c r="W215" i="4"/>
  <c r="X215" i="4"/>
  <c r="Y215" i="4"/>
  <c r="P215" i="4"/>
</calcChain>
</file>

<file path=xl/sharedStrings.xml><?xml version="1.0" encoding="utf-8"?>
<sst xmlns="http://schemas.openxmlformats.org/spreadsheetml/2006/main" count="748" uniqueCount="324">
  <si>
    <t>21.6</t>
  </si>
  <si>
    <t>21.8</t>
  </si>
  <si>
    <t>21.2</t>
  </si>
  <si>
    <t>22.4</t>
  </si>
  <si>
    <t>20.6</t>
  </si>
  <si>
    <t>18.3</t>
  </si>
  <si>
    <t>19.8</t>
  </si>
  <si>
    <t>18.6</t>
  </si>
  <si>
    <t>16.3</t>
  </si>
  <si>
    <t>15.9</t>
  </si>
  <si>
    <t>22.0</t>
  </si>
  <si>
    <t>68.0</t>
  </si>
  <si>
    <t>62.0</t>
  </si>
  <si>
    <t>3.9</t>
  </si>
  <si>
    <t>4.1</t>
  </si>
  <si>
    <t>4.2</t>
  </si>
  <si>
    <t>4.8</t>
  </si>
  <si>
    <t>5.9</t>
  </si>
  <si>
    <t>8.6</t>
  </si>
  <si>
    <t>9.5</t>
  </si>
  <si>
    <t>8.7</t>
  </si>
  <si>
    <t>9.3</t>
  </si>
  <si>
    <t>12.1</t>
  </si>
  <si>
    <t>85.8</t>
  </si>
  <si>
    <t>88.8</t>
  </si>
  <si>
    <t>82.8</t>
  </si>
  <si>
    <t>84.9</t>
  </si>
  <si>
    <t>100.0</t>
  </si>
  <si>
    <t>Catégorie</t>
  </si>
  <si>
    <t>3.5</t>
  </si>
  <si>
    <t>3.3</t>
  </si>
  <si>
    <t>3.7</t>
  </si>
  <si>
    <t>3.2</t>
  </si>
  <si>
    <t>3.4</t>
  </si>
  <si>
    <t>3.8</t>
  </si>
  <si>
    <t>Bourses</t>
  </si>
  <si>
    <t>Enseignants</t>
  </si>
  <si>
    <t>-</t>
  </si>
  <si>
    <t>30.5</t>
  </si>
  <si>
    <t>38.2</t>
  </si>
  <si>
    <t>60.4</t>
  </si>
  <si>
    <t>66.6</t>
  </si>
  <si>
    <t>69.8</t>
  </si>
  <si>
    <t>42.0</t>
  </si>
  <si>
    <t>57.5</t>
  </si>
  <si>
    <t>48.1</t>
  </si>
  <si>
    <t>89.7</t>
  </si>
  <si>
    <t>73.0</t>
  </si>
  <si>
    <t>91.3</t>
  </si>
  <si>
    <t>Sous-Indicateur / Niveau</t>
  </si>
  <si>
    <t>Finances</t>
  </si>
  <si>
    <t>Compétences</t>
  </si>
  <si>
    <t>3.1</t>
  </si>
  <si>
    <t>2.6</t>
  </si>
  <si>
    <t>1.0</t>
  </si>
  <si>
    <t>Petite Enfance</t>
  </si>
  <si>
    <t>39.2</t>
  </si>
  <si>
    <t>17.6</t>
  </si>
  <si>
    <t>16.7</t>
  </si>
  <si>
    <t>14.9</t>
  </si>
  <si>
    <t>18.7</t>
  </si>
  <si>
    <t>19.6</t>
  </si>
  <si>
    <t>14.5</t>
  </si>
  <si>
    <t>19.5</t>
  </si>
  <si>
    <t>20.7</t>
  </si>
  <si>
    <t>15.6</t>
  </si>
  <si>
    <t>17.9</t>
  </si>
  <si>
    <t>59.2</t>
  </si>
  <si>
    <t>34.4</t>
  </si>
  <si>
    <t>Adultes</t>
  </si>
  <si>
    <t>2.4</t>
  </si>
  <si>
    <t>2.0</t>
  </si>
  <si>
    <t>4.3</t>
  </si>
  <si>
    <t>Équité</t>
  </si>
  <si>
    <t>0.8</t>
  </si>
  <si>
    <t>0.6</t>
  </si>
  <si>
    <t>Infrastructures</t>
  </si>
  <si>
    <t>30.0</t>
  </si>
  <si>
    <t>28.7</t>
  </si>
  <si>
    <t>29.9</t>
  </si>
  <si>
    <t>45.8</t>
  </si>
  <si>
    <t>61.1</t>
  </si>
  <si>
    <t>66.0</t>
  </si>
  <si>
    <t>51.4</t>
  </si>
  <si>
    <t>43.2</t>
  </si>
  <si>
    <t>42.6</t>
  </si>
  <si>
    <t>58.2</t>
  </si>
  <si>
    <t>46.8</t>
  </si>
  <si>
    <t>67.4</t>
  </si>
  <si>
    <t>89.6</t>
  </si>
  <si>
    <t>90.3</t>
  </si>
  <si>
    <t>90.8</t>
  </si>
  <si>
    <t>87.1</t>
  </si>
  <si>
    <t>86.8</t>
  </si>
  <si>
    <t>78.6</t>
  </si>
  <si>
    <t>95.5</t>
  </si>
  <si>
    <t>Indicateur clé</t>
  </si>
  <si>
    <t>Unité</t>
  </si>
  <si>
    <t>Nombre</t>
  </si>
  <si>
    <t>%</t>
  </si>
  <si>
    <t>96.5</t>
  </si>
  <si>
    <t>58.6</t>
  </si>
  <si>
    <t>85.2</t>
  </si>
  <si>
    <t>46.2</t>
  </si>
  <si>
    <t>82.1</t>
  </si>
  <si>
    <t>1.03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</si>
  <si>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</si>
  <si>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</si>
  <si>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</si>
  <si>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</si>
  <si>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</si>
  <si>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</si>
  <si>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</si>
  <si>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</si>
  <si>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</si>
  <si>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</si>
  <si>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</si>
  <si>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TBS Primaire</t>
  </si>
  <si>
    <t>78.9</t>
  </si>
  <si>
    <t>87.8</t>
  </si>
  <si>
    <t>91.0</t>
  </si>
  <si>
    <t>91.1</t>
  </si>
  <si>
    <t>91.5</t>
  </si>
  <si>
    <t>92.1</t>
  </si>
  <si>
    <t>92.6</t>
  </si>
  <si>
    <t>95.4</t>
  </si>
  <si>
    <t>96.46</t>
  </si>
  <si>
    <t>63.9</t>
  </si>
  <si>
    <t>68.7</t>
  </si>
  <si>
    <t>76.7</t>
  </si>
  <si>
    <t>77.7</t>
  </si>
  <si>
    <t>80.5</t>
  </si>
  <si>
    <t>83.7</t>
  </si>
  <si>
    <t>78.0</t>
  </si>
  <si>
    <t>Valeur</t>
  </si>
  <si>
    <t>Élèves masculins primaire</t>
  </si>
  <si>
    <t>Élèves féminins primaire</t>
  </si>
  <si>
    <t>Enseignants (H) primaire</t>
  </si>
  <si>
    <t>Enseignantes (F) primaire</t>
  </si>
  <si>
    <t>41.8</t>
  </si>
  <si>
    <t>45.1</t>
  </si>
  <si>
    <t>49.1</t>
  </si>
  <si>
    <t>52.8</t>
  </si>
  <si>
    <t>55.5</t>
  </si>
  <si>
    <t>60.8</t>
  </si>
  <si>
    <t>16.2</t>
  </si>
  <si>
    <t>23.3</t>
  </si>
  <si>
    <t>25.8</t>
  </si>
  <si>
    <t>26.6</t>
  </si>
  <si>
    <t>33.5</t>
  </si>
  <si>
    <t>32.2</t>
  </si>
  <si>
    <t>40.8</t>
  </si>
  <si>
    <t>38.1</t>
  </si>
  <si>
    <t>Élèves masculins secondaire</t>
  </si>
  <si>
    <t>Élèves féminins secondaire</t>
  </si>
  <si>
    <t>82.12</t>
  </si>
  <si>
    <t>83.33</t>
  </si>
  <si>
    <t>80.98</t>
  </si>
  <si>
    <t>83.57</t>
  </si>
  <si>
    <t>84.51</t>
  </si>
  <si>
    <t>52.44</t>
  </si>
  <si>
    <t>64.76</t>
  </si>
  <si>
    <t>71.28</t>
  </si>
  <si>
    <t>83.46</t>
  </si>
  <si>
    <t>86.58</t>
  </si>
  <si>
    <t>58.62</t>
  </si>
  <si>
    <t>59.11</t>
  </si>
  <si>
    <t>60.08</t>
  </si>
  <si>
    <t>60.14</t>
  </si>
  <si>
    <t>57.31</t>
  </si>
  <si>
    <t>53.17</t>
  </si>
  <si>
    <t>41.27</t>
  </si>
  <si>
    <t>28.89</t>
  </si>
  <si>
    <t>31.45</t>
  </si>
  <si>
    <t>40.18</t>
  </si>
  <si>
    <t>51.41</t>
  </si>
  <si>
    <t>39.66</t>
  </si>
  <si>
    <t>42.38</t>
  </si>
  <si>
    <t>44.98</t>
  </si>
  <si>
    <t>46.09</t>
  </si>
  <si>
    <t>41.23</t>
  </si>
  <si>
    <t>52.94</t>
  </si>
  <si>
    <t>29.24</t>
  </si>
  <si>
    <t>30.78</t>
  </si>
  <si>
    <t>32.09</t>
  </si>
  <si>
    <t>34.17</t>
  </si>
  <si>
    <t>40.15</t>
  </si>
  <si>
    <t>Année</t>
  </si>
  <si>
    <t xml:space="preserve">TBS(Primaire) Projection </t>
  </si>
  <si>
    <r>
      <t>TNS Primaire</t>
    </r>
    <r>
      <rPr>
        <sz val="11"/>
        <color theme="1"/>
        <rFont val="Arial"/>
        <family val="2"/>
      </rPr>
      <t xml:space="preserve"> </t>
    </r>
  </si>
  <si>
    <t>2025-26</t>
  </si>
  <si>
    <t>2026-27</t>
  </si>
  <si>
    <t>2027-28</t>
  </si>
  <si>
    <t>2028-29</t>
  </si>
  <si>
    <t>2029-30</t>
  </si>
  <si>
    <t>TA Projection (%)</t>
  </si>
  <si>
    <t xml:space="preserve">IPS </t>
  </si>
  <si>
    <t>TNS (%)</t>
  </si>
  <si>
    <t>Enseignants qualifiés (%)</t>
  </si>
  <si>
    <r>
      <t>Taux réussite CEPE</t>
    </r>
    <r>
      <rPr>
        <sz val="11"/>
        <color theme="1"/>
        <rFont val="Arial"/>
        <family val="2"/>
      </rPr>
      <t xml:space="preserve"> </t>
    </r>
  </si>
  <si>
    <t>Années</t>
  </si>
  <si>
    <t>Taux de réussite CEPE (%)</t>
  </si>
  <si>
    <t>TBADA (%)</t>
  </si>
  <si>
    <t xml:space="preserve">TBS(%) </t>
  </si>
  <si>
    <t>Pourcentage d'enseignantes(%)</t>
  </si>
  <si>
    <r>
      <t>Secondaire : Taux scolarisation</t>
    </r>
    <r>
      <rPr>
        <sz val="11"/>
        <color theme="1"/>
        <rFont val="Arial"/>
        <family val="2"/>
      </rPr>
      <t xml:space="preserve"> </t>
    </r>
  </si>
  <si>
    <t>TNS secondaire (%)</t>
  </si>
  <si>
    <r>
      <t>Taux achèvement secondaire</t>
    </r>
    <r>
      <rPr>
        <sz val="11"/>
        <color theme="1"/>
        <rFont val="Arial"/>
        <family val="2"/>
      </rPr>
      <t xml:space="preserve"> </t>
    </r>
  </si>
  <si>
    <t>2019-21</t>
  </si>
  <si>
    <t xml:space="preserve">IPS  des éléves au seconde </t>
  </si>
  <si>
    <t>Nombre d’enseignants hommes – secondaire</t>
  </si>
  <si>
    <t>Nombre d’enseignantes femmes – secondaire</t>
  </si>
  <si>
    <r>
      <t>Primaire : Effectifs inscrits</t>
    </r>
    <r>
      <rPr>
        <sz val="11"/>
        <color theme="1"/>
        <rFont val="Arial"/>
        <family val="2"/>
      </rPr>
      <t xml:space="preserve"> </t>
    </r>
  </si>
  <si>
    <r>
      <t>Taux achèvement primaire</t>
    </r>
    <r>
      <rPr>
        <sz val="11"/>
        <color theme="1"/>
        <rFont val="Arial"/>
        <family val="2"/>
      </rPr>
      <t xml:space="preserve"> </t>
    </r>
  </si>
  <si>
    <r>
      <t>Indice parité primaire (F/G)</t>
    </r>
    <r>
      <rPr>
        <sz val="11"/>
        <color theme="1"/>
        <rFont val="Arial"/>
        <family val="2"/>
      </rPr>
      <t xml:space="preserve"> </t>
    </r>
  </si>
  <si>
    <r>
      <t>Écoles primaires</t>
    </r>
    <r>
      <rPr>
        <sz val="11"/>
        <color theme="1"/>
        <rFont val="Arial"/>
        <family val="2"/>
      </rPr>
      <t xml:space="preserve"> </t>
    </r>
  </si>
  <si>
    <r>
      <t>Écoles secondaires</t>
    </r>
    <r>
      <rPr>
        <sz val="11"/>
        <color theme="1"/>
        <rFont val="Arial"/>
        <family val="2"/>
      </rPr>
      <t xml:space="preserve"> </t>
    </r>
  </si>
  <si>
    <r>
      <t>Taux réussite BEPC</t>
    </r>
    <r>
      <rPr>
        <sz val="11"/>
        <color theme="1"/>
        <rFont val="Arial"/>
        <family val="2"/>
      </rPr>
      <t xml:space="preserve"> </t>
    </r>
  </si>
  <si>
    <r>
      <t>Taux réussite BAC</t>
    </r>
    <r>
      <rPr>
        <sz val="11"/>
        <color theme="1"/>
        <rFont val="Arial"/>
        <family val="2"/>
      </rPr>
      <t xml:space="preserve"> </t>
    </r>
  </si>
  <si>
    <t>Prtg d'enseignantes (%)</t>
  </si>
  <si>
    <t>Taux de réussite au BEPC (%)</t>
  </si>
  <si>
    <t>58.620000</t>
  </si>
  <si>
    <t>59.110000</t>
  </si>
  <si>
    <t>60.080000</t>
  </si>
  <si>
    <t>60.140000</t>
  </si>
  <si>
    <t>57.310000</t>
  </si>
  <si>
    <t>53.170000</t>
  </si>
  <si>
    <t>41.270000</t>
  </si>
  <si>
    <t>28.890000</t>
  </si>
  <si>
    <t>31.450000</t>
  </si>
  <si>
    <t>40.180000</t>
  </si>
  <si>
    <t xml:space="preserve">Dépenses gouv. (% dépenses totales) </t>
  </si>
  <si>
    <r>
      <t xml:space="preserve">Dépenses gouv. (% du PIB) </t>
    </r>
    <r>
      <rPr>
        <vertAlign val="superscript"/>
        <sz val="8"/>
        <rFont val="Arial"/>
        <family val="2"/>
      </rPr>
      <t>2</t>
    </r>
  </si>
  <si>
    <r>
      <t xml:space="preserve">Mathématiques - Primaire (%) </t>
    </r>
    <r>
      <rPr>
        <vertAlign val="superscript"/>
        <sz val="8"/>
        <rFont val="Arial"/>
        <family val="2"/>
      </rPr>
      <t>3</t>
    </r>
  </si>
  <si>
    <r>
      <t xml:space="preserve">Mathématiques - Secondaire Inf. (%) </t>
    </r>
    <r>
      <rPr>
        <vertAlign val="superscript"/>
        <sz val="8"/>
        <rFont val="Arial"/>
        <family val="2"/>
      </rPr>
      <t>4</t>
    </r>
  </si>
  <si>
    <r>
      <t xml:space="preserve">Lecture - Primaire (%) </t>
    </r>
    <r>
      <rPr>
        <vertAlign val="superscript"/>
        <sz val="8"/>
        <rFont val="Arial"/>
        <family val="2"/>
      </rPr>
      <t>5</t>
    </r>
  </si>
  <si>
    <r>
      <t xml:space="preserve">Dév. on track (24-59 mois) (%) </t>
    </r>
    <r>
      <rPr>
        <vertAlign val="superscript"/>
        <sz val="8"/>
        <rFont val="Arial"/>
        <family val="2"/>
      </rPr>
      <t>12</t>
    </r>
  </si>
  <si>
    <r>
      <t xml:space="preserve">Enrôlement 1 an avant Primaire (%) </t>
    </r>
    <r>
      <rPr>
        <vertAlign val="superscript"/>
        <sz val="8"/>
        <rFont val="Arial"/>
        <family val="2"/>
      </rPr>
      <t>13</t>
    </r>
  </si>
  <si>
    <r>
      <t xml:space="preserve">Fréquentation 1 an avant Primaire (%) </t>
    </r>
    <r>
      <rPr>
        <vertAlign val="superscript"/>
        <sz val="8"/>
        <rFont val="Arial"/>
        <family val="2"/>
      </rPr>
      <t>14</t>
    </r>
  </si>
  <si>
    <r>
      <t xml:space="preserve">Participation Formation (25-64 ans) (%) </t>
    </r>
    <r>
      <rPr>
        <vertAlign val="superscript"/>
        <sz val="8"/>
        <rFont val="Arial"/>
        <family val="2"/>
      </rPr>
      <t>15</t>
    </r>
  </si>
  <si>
    <r>
      <t xml:space="preserve">Indice Parité Genre (Sec. Supérieur) </t>
    </r>
    <r>
      <rPr>
        <vertAlign val="superscript"/>
        <sz val="8"/>
        <rFont val="Arial"/>
        <family val="2"/>
      </rPr>
      <t>16</t>
    </r>
  </si>
  <si>
    <r>
      <t xml:space="preserve">Électricité - Primaire (%) </t>
    </r>
    <r>
      <rPr>
        <vertAlign val="superscript"/>
        <sz val="8"/>
        <rFont val="Arial"/>
        <family val="2"/>
      </rPr>
      <t>17</t>
    </r>
  </si>
  <si>
    <r>
      <t xml:space="preserve">Eau potable - Primaire (%) </t>
    </r>
    <r>
      <rPr>
        <vertAlign val="superscript"/>
        <sz val="8"/>
        <rFont val="Arial"/>
        <family val="2"/>
      </rPr>
      <t>18</t>
    </r>
  </si>
  <si>
    <r>
      <t xml:space="preserve">Électricité - Sec. Inférieur (%) </t>
    </r>
    <r>
      <rPr>
        <vertAlign val="superscript"/>
        <sz val="8"/>
        <rFont val="Arial"/>
        <family val="2"/>
      </rPr>
      <t>19</t>
    </r>
  </si>
  <si>
    <r>
      <t xml:space="preserve">Sanitaires non-mixtes - Sec. Sup. (%) </t>
    </r>
    <r>
      <rPr>
        <vertAlign val="superscript"/>
        <sz val="8"/>
        <rFont val="Arial"/>
        <family val="2"/>
      </rPr>
      <t>20</t>
    </r>
  </si>
  <si>
    <r>
      <t xml:space="preserve">Aide ODA bourses (millions USD) </t>
    </r>
    <r>
      <rPr>
        <vertAlign val="superscript"/>
        <sz val="8"/>
        <rFont val="Arial"/>
        <family val="2"/>
      </rPr>
      <t>21</t>
    </r>
  </si>
  <si>
    <r>
      <t xml:space="preserve">Qualifiés - Pré-primaire (%) </t>
    </r>
    <r>
      <rPr>
        <vertAlign val="superscript"/>
        <sz val="8"/>
        <rFont val="Arial"/>
        <family val="2"/>
      </rPr>
      <t>22</t>
    </r>
  </si>
  <si>
    <r>
      <t xml:space="preserve">Qualifiés - Primaire (%) </t>
    </r>
    <r>
      <rPr>
        <vertAlign val="superscript"/>
        <sz val="8"/>
        <rFont val="Arial"/>
        <family val="2"/>
      </rPr>
      <t>23</t>
    </r>
  </si>
  <si>
    <r>
      <t xml:space="preserve">Qualifiés - Secondaire (%) </t>
    </r>
    <r>
      <rPr>
        <vertAlign val="superscript"/>
        <sz val="8"/>
        <rFont val="Arial"/>
        <family val="2"/>
      </rPr>
      <t>24</t>
    </r>
  </si>
  <si>
    <t>Taux de réussite au BAC (%)</t>
  </si>
  <si>
    <t>39.660000</t>
  </si>
  <si>
    <t>42.380000</t>
  </si>
  <si>
    <t>44.980000</t>
  </si>
  <si>
    <t>46.090000</t>
  </si>
  <si>
    <t>41.230000</t>
  </si>
  <si>
    <t>52.940000</t>
  </si>
  <si>
    <t>29.240000</t>
  </si>
  <si>
    <t>30.780000</t>
  </si>
  <si>
    <t>32.090000</t>
  </si>
  <si>
    <t>34.170000</t>
  </si>
  <si>
    <t>51.410000</t>
  </si>
  <si>
    <t>40.150000</t>
  </si>
  <si>
    <t>60.540494</t>
  </si>
  <si>
    <t>39.428182</t>
  </si>
  <si>
    <t>64.631531</t>
  </si>
  <si>
    <t>63.089769</t>
  </si>
  <si>
    <t>57.469154</t>
  </si>
  <si>
    <t>50.528184</t>
  </si>
  <si>
    <t>Dépense (% Dépense Total)</t>
  </si>
  <si>
    <t>21.600000</t>
  </si>
  <si>
    <t>21.800000</t>
  </si>
  <si>
    <t>21.200000</t>
  </si>
  <si>
    <t>22.400000</t>
  </si>
  <si>
    <t>20.600000</t>
  </si>
  <si>
    <t>18.300000</t>
  </si>
  <si>
    <t>19.800000</t>
  </si>
  <si>
    <t>18.600000</t>
  </si>
  <si>
    <t>16.300000</t>
  </si>
  <si>
    <t>15.900000</t>
  </si>
  <si>
    <t>16.385744</t>
  </si>
  <si>
    <t>16.796127</t>
  </si>
  <si>
    <t>17.142842</t>
  </si>
  <si>
    <t>17.435765</t>
  </si>
  <si>
    <t>17.683244</t>
  </si>
  <si>
    <t>17.892327</t>
  </si>
  <si>
    <t>18.068973</t>
  </si>
  <si>
    <t>TNS projeté  (%)</t>
  </si>
  <si>
    <t>IPS  primaire</t>
  </si>
  <si>
    <t>TNS (%)  primaire</t>
  </si>
  <si>
    <t xml:space="preserve">IPS primaire projeté </t>
  </si>
  <si>
    <t>TBADA secondaire (%)</t>
  </si>
  <si>
    <t>IPS secondaire projeté</t>
  </si>
  <si>
    <t>Prtg d'enseignantes secondaire (%)</t>
  </si>
  <si>
    <t>Pourcentages des enseignantes primaire(%)</t>
  </si>
  <si>
    <t>Pourcentage des enseignantes (%)au secondaire</t>
  </si>
  <si>
    <t>Prtg enseignante primaireProjection (%)</t>
  </si>
  <si>
    <t>TBADA primaire</t>
  </si>
  <si>
    <t>BASE DE DONNEES</t>
  </si>
  <si>
    <t>TABLEAUX ET GRAPHIQUES</t>
  </si>
  <si>
    <t>TABLEAUX  ET GRAPHIQUES</t>
  </si>
  <si>
    <t>Ratio E/M primaire (%)</t>
  </si>
  <si>
    <t>Eau potable primaire (%)</t>
  </si>
  <si>
    <t>Electricity Primary (%)</t>
  </si>
  <si>
    <t>Eau potable Secondaire (%)</t>
  </si>
  <si>
    <t>Electricity Secondaire (%)</t>
  </si>
  <si>
    <t>Cible normative internationale 2030</t>
  </si>
  <si>
    <t>≥ 90 %</t>
  </si>
  <si>
    <t>0,97 – 1,03</t>
  </si>
  <si>
    <t>≥ 30 %</t>
  </si>
  <si>
    <t>≥ 70 % (indicatif)</t>
  </si>
  <si>
    <t>≥ 40 % (indicatif)</t>
  </si>
  <si>
    <t>≥ 100 %</t>
  </si>
  <si>
    <t>≥ 95 %</t>
  </si>
  <si>
    <t>≥ 50 %</t>
  </si>
  <si>
    <t>≤ 40 élèves par enseignant</t>
  </si>
  <si>
    <t xml:space="preserve">≥ 80 % </t>
  </si>
  <si>
    <t>Projection en 2030</t>
  </si>
  <si>
    <t>INDICATEUR</t>
  </si>
  <si>
    <t>Secteur Primaire</t>
  </si>
  <si>
    <t>Electricité Primaraire (%)</t>
  </si>
  <si>
    <t>oui</t>
  </si>
  <si>
    <t>non</t>
  </si>
  <si>
    <t>En cours</t>
  </si>
  <si>
    <t>Secteur Secondaire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</si>
</sst>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€&quot;"/>
    <numFmt numFmtId="165" formatCode="0.000"/>
    <numFmt numFmtId="166" formatCode="0.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10"/>
      <color theme="1"/>
      <name val="Arial Unicode MS"/>
    </font>
    <font>
      <vertAlign val="superscript"/>
      <sz val="8"/>
      <name val="Arial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2" xfId="0" applyFont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/>
    <xf numFmtId="0" fontId="9" fillId="2" borderId="2" xfId="0" applyFont="1" applyFill="1" applyBorder="1"/>
    <xf numFmtId="0" fontId="10" fillId="2" borderId="2" xfId="0" applyFont="1" applyFill="1" applyBorder="1" applyAlignment="1">
      <alignment vertical="center" wrapText="1"/>
    </xf>
    <xf numFmtId="0" fontId="8" fillId="2" borderId="2" xfId="0" applyFont="1" applyFill="1" applyBorder="1"/>
    <xf numFmtId="165" fontId="2" fillId="0" borderId="2" xfId="0" applyNumberFormat="1" applyFont="1" applyBorder="1"/>
    <xf numFmtId="165" fontId="0" fillId="0" borderId="2" xfId="0" applyNumberFormat="1" applyBorder="1"/>
    <xf numFmtId="166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" fontId="4" fillId="0" borderId="2" xfId="1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2" fontId="3" fillId="0" borderId="2" xfId="0" applyNumberFormat="1" applyFont="1" applyBorder="1" applyAlignment="1">
      <alignment vertical="center" wrapText="1"/>
    </xf>
    <xf numFmtId="1" fontId="10" fillId="2" borderId="2" xfId="1" applyNumberFormat="1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left" vertical="center" indent="1"/>
    </xf>
    <xf numFmtId="0" fontId="11" fillId="0" borderId="0" xfId="0" applyFont="1" applyAlignment="1">
      <alignment vertical="center"/>
    </xf>
    <xf numFmtId="0" fontId="11" fillId="0" borderId="0" xfId="0" applyFont="1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165" fontId="0" fillId="0" borderId="6" xfId="0" applyNumberFormat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165" fontId="0" fillId="0" borderId="2" xfId="0" applyNumberFormat="1" applyBorder="1" applyAlignment="1">
      <alignment horizontal="right" vertical="center"/>
    </xf>
    <xf numFmtId="0" fontId="13" fillId="4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" fontId="4" fillId="0" borderId="4" xfId="1" applyNumberFormat="1" applyFont="1" applyBorder="1" applyAlignment="1">
      <alignment vertical="center" wrapText="1"/>
    </xf>
    <xf numFmtId="0" fontId="0" fillId="5" borderId="0" xfId="0" applyFill="1"/>
    <xf numFmtId="0" fontId="17" fillId="0" borderId="6" xfId="0" applyFont="1" applyBorder="1" applyAlignment="1">
      <alignment vertical="center" wrapText="1"/>
    </xf>
    <xf numFmtId="165" fontId="17" fillId="0" borderId="6" xfId="0" applyNumberFormat="1" applyFont="1" applyBorder="1" applyAlignment="1">
      <alignment vertical="center" wrapText="1"/>
    </xf>
    <xf numFmtId="0" fontId="8" fillId="2" borderId="6" xfId="0" applyFont="1" applyFill="1" applyBorder="1" applyAlignment="1">
      <alignment horizontal="left" vertical="center" wrapText="1"/>
    </xf>
    <xf numFmtId="2" fontId="0" fillId="0" borderId="6" xfId="0" applyNumberFormat="1" applyBorder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165" fontId="17" fillId="0" borderId="2" xfId="0" applyNumberFormat="1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6" fillId="0" borderId="2" xfId="0" applyFont="1" applyBorder="1"/>
    <xf numFmtId="0" fontId="19" fillId="0" borderId="2" xfId="0" applyFont="1" applyBorder="1"/>
    <xf numFmtId="0" fontId="19" fillId="0" borderId="2" xfId="0" applyFont="1" applyBorder="1" applyAlignment="1">
      <alignment vertical="center" wrapText="1"/>
    </xf>
    <xf numFmtId="0" fontId="15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240615550205487"/>
          <c:y val="0.21207805614396158"/>
          <c:w val="0.81674716937755043"/>
          <c:h val="0.642862728578680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Données!$O$27:$P$27</c:f>
              <c:strCache>
                <c:ptCount val="2"/>
                <c:pt idx="0">
                  <c:v>TNS Primaire </c:v>
                </c:pt>
                <c:pt idx="1">
                  <c:v>%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Données!$Q$26:$Z$26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Données!$Q$27:$Z$27</c:f>
              <c:numCache>
                <c:formatCode>General</c:formatCode>
                <c:ptCount val="10"/>
                <c:pt idx="0">
                  <c:v>78.900000000000006</c:v>
                </c:pt>
                <c:pt idx="1">
                  <c:v>87.8</c:v>
                </c:pt>
                <c:pt idx="2">
                  <c:v>91</c:v>
                </c:pt>
                <c:pt idx="3">
                  <c:v>91.1</c:v>
                </c:pt>
                <c:pt idx="4">
                  <c:v>91.3</c:v>
                </c:pt>
                <c:pt idx="5">
                  <c:v>91.5</c:v>
                </c:pt>
                <c:pt idx="6">
                  <c:v>92.1</c:v>
                </c:pt>
                <c:pt idx="7">
                  <c:v>92.6</c:v>
                </c:pt>
                <c:pt idx="8">
                  <c:v>95.4</c:v>
                </c:pt>
                <c:pt idx="9">
                  <c:v>96.46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6-4B12-9EDF-7C53489934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540319"/>
        <c:axId val="1813533119"/>
      </c:barChart>
      <c:catAx>
        <c:axId val="181354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3533119"/>
        <c:crosses val="autoZero"/>
        <c:auto val="1"/>
        <c:lblAlgn val="ctr"/>
        <c:lblOffset val="100"/>
        <c:noMultiLvlLbl val="0"/>
      </c:catAx>
      <c:valAx>
        <c:axId val="181353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354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Données!$O$10:$P$10</c:f>
              <c:strCache>
                <c:ptCount val="2"/>
                <c:pt idx="0">
                  <c:v>TBS Primaire</c:v>
                </c:pt>
                <c:pt idx="1">
                  <c:v>%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Données!$Q$9:$Z$9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Données!$Q$10:$Z$10</c:f>
              <c:numCache>
                <c:formatCode>General</c:formatCode>
                <c:ptCount val="10"/>
                <c:pt idx="0">
                  <c:v>95.5</c:v>
                </c:pt>
                <c:pt idx="1">
                  <c:v>101.3</c:v>
                </c:pt>
                <c:pt idx="2">
                  <c:v>104.6</c:v>
                </c:pt>
                <c:pt idx="3">
                  <c:v>100.6</c:v>
                </c:pt>
                <c:pt idx="4">
                  <c:v>101.1</c:v>
                </c:pt>
                <c:pt idx="5">
                  <c:v>101.2</c:v>
                </c:pt>
                <c:pt idx="6">
                  <c:v>98</c:v>
                </c:pt>
                <c:pt idx="7">
                  <c:v>101.1</c:v>
                </c:pt>
                <c:pt idx="8">
                  <c:v>104.8</c:v>
                </c:pt>
                <c:pt idx="9">
                  <c:v>105.93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F-4B9F-93E7-776DFF361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3182464"/>
        <c:axId val="783199264"/>
      </c:lineChart>
      <c:catAx>
        <c:axId val="7831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3199264"/>
        <c:crosses val="autoZero"/>
        <c:auto val="1"/>
        <c:lblAlgn val="ctr"/>
        <c:lblOffset val="100"/>
        <c:noMultiLvlLbl val="0"/>
      </c:catAx>
      <c:valAx>
        <c:axId val="78319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318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Données!$O$116</c:f>
              <c:strCache>
                <c:ptCount val="1"/>
                <c:pt idx="0">
                  <c:v>Taux achèvement secondaire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Données!$P$115:$Y$115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2019-21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Données!$P$116:$Y$116</c:f>
              <c:numCache>
                <c:formatCode>General</c:formatCode>
                <c:ptCount val="10"/>
                <c:pt idx="0">
                  <c:v>16.2</c:v>
                </c:pt>
                <c:pt idx="1">
                  <c:v>18.7</c:v>
                </c:pt>
                <c:pt idx="2">
                  <c:v>23.3</c:v>
                </c:pt>
                <c:pt idx="3">
                  <c:v>25.8</c:v>
                </c:pt>
                <c:pt idx="4">
                  <c:v>26.6</c:v>
                </c:pt>
                <c:pt idx="5">
                  <c:v>33.5</c:v>
                </c:pt>
                <c:pt idx="6">
                  <c:v>32.200000000000003</c:v>
                </c:pt>
                <c:pt idx="7">
                  <c:v>40.799999999999997</c:v>
                </c:pt>
                <c:pt idx="8">
                  <c:v>38.1</c:v>
                </c:pt>
                <c:pt idx="9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6-42F9-8B40-61DCF2ABEA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3150784"/>
        <c:axId val="783156064"/>
      </c:lineChart>
      <c:catAx>
        <c:axId val="7831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3156064"/>
        <c:crosses val="autoZero"/>
        <c:auto val="1"/>
        <c:lblAlgn val="ctr"/>
        <c:lblOffset val="100"/>
        <c:noMultiLvlLbl val="0"/>
      </c:catAx>
      <c:valAx>
        <c:axId val="7831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31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Données!$O$166</c:f>
              <c:strCache>
                <c:ptCount val="1"/>
                <c:pt idx="0">
                  <c:v>Pourcentage des enseignantes (%)au secondaire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Données!$P$165:$Y$165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2019-21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Données!$P$166:$Y$166</c:f>
              <c:numCache>
                <c:formatCode>0.000</c:formatCode>
                <c:ptCount val="10"/>
                <c:pt idx="0">
                  <c:v>13.449367088607595</c:v>
                </c:pt>
                <c:pt idx="1">
                  <c:v>14.279843846311897</c:v>
                </c:pt>
                <c:pt idx="2">
                  <c:v>14.378418781639656</c:v>
                </c:pt>
                <c:pt idx="3">
                  <c:v>14.839274883752275</c:v>
                </c:pt>
                <c:pt idx="4">
                  <c:v>13.539730672666211</c:v>
                </c:pt>
                <c:pt idx="5">
                  <c:v>13.914971858464217</c:v>
                </c:pt>
                <c:pt idx="6">
                  <c:v>14.427113313771464</c:v>
                </c:pt>
                <c:pt idx="7">
                  <c:v>14.492297227505762</c:v>
                </c:pt>
                <c:pt idx="8">
                  <c:v>14.852415867644295</c:v>
                </c:pt>
                <c:pt idx="9">
                  <c:v>15.485290846727462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1-423B-AB65-343046349E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1822592"/>
        <c:axId val="901839392"/>
      </c:lineChart>
      <c:catAx>
        <c:axId val="9018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839392"/>
        <c:crosses val="autoZero"/>
        <c:auto val="1"/>
        <c:lblAlgn val="ctr"/>
        <c:lblOffset val="100"/>
        <c:noMultiLvlLbl val="0"/>
      </c:catAx>
      <c:valAx>
        <c:axId val="90183939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82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Données!$O$46</c:f>
              <c:strCache>
                <c:ptCount val="1"/>
                <c:pt idx="0">
                  <c:v>Pourcentages des enseignantes primaire(%)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Données!$P$45:$Y$45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Données!$P$46:$Y$46</c:f>
              <c:numCache>
                <c:formatCode>0.000</c:formatCode>
                <c:ptCount val="10"/>
                <c:pt idx="0">
                  <c:v>27.757469902064752</c:v>
                </c:pt>
                <c:pt idx="1">
                  <c:v>28.024063260054753</c:v>
                </c:pt>
                <c:pt idx="2">
                  <c:v>29.783901933390418</c:v>
                </c:pt>
                <c:pt idx="3">
                  <c:v>30.864171054183597</c:v>
                </c:pt>
                <c:pt idx="4">
                  <c:v>32.09358377659575</c:v>
                </c:pt>
                <c:pt idx="5">
                  <c:v>34.470989761092156</c:v>
                </c:pt>
                <c:pt idx="6">
                  <c:v>34.995960623560038</c:v>
                </c:pt>
                <c:pt idx="7">
                  <c:v>36.017507622700897</c:v>
                </c:pt>
                <c:pt idx="8">
                  <c:v>37.048586756649165</c:v>
                </c:pt>
                <c:pt idx="9">
                  <c:v>37.927368844452111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6-443C-8407-6A0F22BF6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820192"/>
        <c:axId val="901817312"/>
      </c:lineChart>
      <c:catAx>
        <c:axId val="9018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817312"/>
        <c:crosses val="autoZero"/>
        <c:auto val="1"/>
        <c:lblAlgn val="ctr"/>
        <c:lblOffset val="100"/>
        <c:noMultiLvlLbl val="0"/>
      </c:catAx>
      <c:valAx>
        <c:axId val="90181731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8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Données!$O$59:$P$59</c:f>
              <c:strCache>
                <c:ptCount val="2"/>
                <c:pt idx="0">
                  <c:v>Taux réussite CEPE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Données!$Q$58:$Z$58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Données!$Q$59:$Z$59</c:f>
              <c:numCache>
                <c:formatCode>General</c:formatCode>
                <c:ptCount val="10"/>
                <c:pt idx="0">
                  <c:v>82.12</c:v>
                </c:pt>
                <c:pt idx="1">
                  <c:v>83.33</c:v>
                </c:pt>
                <c:pt idx="2">
                  <c:v>80.98</c:v>
                </c:pt>
                <c:pt idx="3">
                  <c:v>83.57</c:v>
                </c:pt>
                <c:pt idx="4">
                  <c:v>84.51</c:v>
                </c:pt>
                <c:pt idx="5">
                  <c:v>52.44</c:v>
                </c:pt>
                <c:pt idx="6">
                  <c:v>64.760000000000005</c:v>
                </c:pt>
                <c:pt idx="7">
                  <c:v>71.28</c:v>
                </c:pt>
                <c:pt idx="8">
                  <c:v>83.46</c:v>
                </c:pt>
                <c:pt idx="9">
                  <c:v>86.58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4-4F2E-9B4A-8EF283E7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515824"/>
        <c:axId val="908528304"/>
      </c:lineChart>
      <c:catAx>
        <c:axId val="9085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528304"/>
        <c:crosses val="autoZero"/>
        <c:auto val="1"/>
        <c:lblAlgn val="ctr"/>
        <c:lblOffset val="100"/>
        <c:noMultiLvlLbl val="0"/>
      </c:catAx>
      <c:valAx>
        <c:axId val="90852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5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3946865572075268E-2"/>
          <c:y val="0.19108230391331532"/>
          <c:w val="0.89249470203417025"/>
          <c:h val="0.72666347089795025"/>
        </c:manualLayout>
      </c:layout>
      <c:lineChart>
        <c:grouping val="standard"/>
        <c:varyColors val="0"/>
        <c:ser>
          <c:idx val="0"/>
          <c:order val="0"/>
          <c:tx>
            <c:strRef>
              <c:f>Données!$O$88</c:f>
              <c:strCache>
                <c:ptCount val="1"/>
                <c:pt idx="0">
                  <c:v>TNS secondaire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Données!$P$87:$Y$87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2019-21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Données!$P$88:$Y$88</c:f>
              <c:numCache>
                <c:formatCode>General</c:formatCode>
                <c:ptCount val="10"/>
                <c:pt idx="0">
                  <c:v>41.8</c:v>
                </c:pt>
                <c:pt idx="1">
                  <c:v>45.1</c:v>
                </c:pt>
                <c:pt idx="2">
                  <c:v>49.1</c:v>
                </c:pt>
                <c:pt idx="3">
                  <c:v>52.8</c:v>
                </c:pt>
                <c:pt idx="4">
                  <c:v>55.5</c:v>
                </c:pt>
                <c:pt idx="5">
                  <c:v>58.6</c:v>
                </c:pt>
                <c:pt idx="6">
                  <c:v>60.8</c:v>
                </c:pt>
                <c:pt idx="7">
                  <c:v>62</c:v>
                </c:pt>
                <c:pt idx="8">
                  <c:v>73</c:v>
                </c:pt>
                <c:pt idx="9">
                  <c:v>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1-4FF7-9D67-21C6A3CCE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403152"/>
        <c:axId val="906403632"/>
      </c:lineChart>
      <c:catAx>
        <c:axId val="9064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6403632"/>
        <c:crosses val="autoZero"/>
        <c:auto val="1"/>
        <c:lblAlgn val="ctr"/>
        <c:lblOffset val="100"/>
        <c:noMultiLvlLbl val="0"/>
      </c:catAx>
      <c:valAx>
        <c:axId val="90640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640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Données!$O$143</c:f>
              <c:strCache>
                <c:ptCount val="1"/>
                <c:pt idx="0">
                  <c:v>IPS  des éléves au seconde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Données!$P$142:$Y$142</c:f>
              <c:strCache>
                <c:ptCount val="10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2019-21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</c:strCache>
            </c:strRef>
          </c:cat>
          <c:val>
            <c:numRef>
              <c:f>Données!$P$143:$Y$143</c:f>
              <c:numCache>
                <c:formatCode>0.000</c:formatCode>
                <c:ptCount val="10"/>
                <c:pt idx="0">
                  <c:v>0.68882263539938404</c:v>
                </c:pt>
                <c:pt idx="1">
                  <c:v>0.70772293991233293</c:v>
                </c:pt>
                <c:pt idx="2">
                  <c:v>0.73308479830637541</c:v>
                </c:pt>
                <c:pt idx="3">
                  <c:v>0.76022087820589068</c:v>
                </c:pt>
                <c:pt idx="4">
                  <c:v>0.78551100071572755</c:v>
                </c:pt>
                <c:pt idx="5">
                  <c:v>0.82005039961300297</c:v>
                </c:pt>
                <c:pt idx="6">
                  <c:v>0.85403867581604631</c:v>
                </c:pt>
                <c:pt idx="7">
                  <c:v>0.88144891573639683</c:v>
                </c:pt>
                <c:pt idx="8">
                  <c:v>0.91916558944834048</c:v>
                </c:pt>
                <c:pt idx="9">
                  <c:v>0.93339848727916752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B-4890-8C2A-A1570489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529744"/>
        <c:axId val="908530704"/>
      </c:lineChart>
      <c:catAx>
        <c:axId val="90852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530704"/>
        <c:crosses val="autoZero"/>
        <c:auto val="1"/>
        <c:lblAlgn val="ctr"/>
        <c:lblOffset val="100"/>
        <c:noMultiLvlLbl val="0"/>
      </c:catAx>
      <c:valAx>
        <c:axId val="90853070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52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1111111111111109E-2"/>
          <c:y val="0.2174537037037037"/>
          <c:w val="0.93888888888888888"/>
          <c:h val="0.69866542723826186"/>
        </c:manualLayout>
      </c:layout>
      <c:lineChart>
        <c:grouping val="standard"/>
        <c:varyColors val="0"/>
        <c:ser>
          <c:idx val="0"/>
          <c:order val="0"/>
          <c:tx>
            <c:strRef>
              <c:f>Données!$O$204</c:f>
              <c:strCache>
                <c:ptCount val="1"/>
                <c:pt idx="0">
                  <c:v>Dépenses gouv. (% dépenses totales)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Données!$P$203:$Z$203</c:f>
              <c:numCache>
                <c:formatCode>General</c:formatCode>
                <c:ptCount val="11"/>
                <c:pt idx="0" formatCode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Données!$P$204:$Z$204</c:f>
              <c:numCache>
                <c:formatCode>General</c:formatCode>
                <c:ptCount val="11"/>
                <c:pt idx="0" formatCode="0.00">
                  <c:v>21.6</c:v>
                </c:pt>
                <c:pt idx="1">
                  <c:v>21.8</c:v>
                </c:pt>
                <c:pt idx="2">
                  <c:v>21.2</c:v>
                </c:pt>
                <c:pt idx="3">
                  <c:v>22.4</c:v>
                </c:pt>
                <c:pt idx="4">
                  <c:v>20.6</c:v>
                </c:pt>
                <c:pt idx="5">
                  <c:v>18.3</c:v>
                </c:pt>
                <c:pt idx="6">
                  <c:v>19.8</c:v>
                </c:pt>
                <c:pt idx="7">
                  <c:v>18.600000000000001</c:v>
                </c:pt>
                <c:pt idx="8">
                  <c:v>16.3</c:v>
                </c:pt>
                <c:pt idx="9">
                  <c:v>15.9</c:v>
                </c:pt>
                <c:pt idx="10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D-4C5A-9716-045718E01A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63919456"/>
        <c:axId val="1363908416"/>
      </c:lineChart>
      <c:catAx>
        <c:axId val="13639194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908416"/>
        <c:crosses val="autoZero"/>
        <c:auto val="1"/>
        <c:lblAlgn val="ctr"/>
        <c:lblOffset val="100"/>
        <c:noMultiLvlLbl val="0"/>
      </c:catAx>
      <c:valAx>
        <c:axId val="136390841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91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Projection!$O$8</c:f>
              <c:strCache>
                <c:ptCount val="1"/>
                <c:pt idx="0">
                  <c:v>Enseignants qualifiés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Projection!$P$7:$U$7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Projection!$P$8:$U$8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C-4D2C-BB73-DEE138DFB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43232"/>
        <c:axId val="207327872"/>
      </c:barChart>
      <c:catAx>
        <c:axId val="2073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327872"/>
        <c:crosses val="autoZero"/>
        <c:auto val="1"/>
        <c:lblAlgn val="ctr"/>
        <c:lblOffset val="100"/>
        <c:noMultiLvlLbl val="0"/>
      </c:catAx>
      <c:valAx>
        <c:axId val="20732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3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0440083413372099E-2"/>
          <c:y val="0.20526369267842823"/>
          <c:w val="0.93955991658662785"/>
          <c:h val="0.709370063486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Projection!$O$39</c:f>
              <c:strCache>
                <c:ptCount val="1"/>
                <c:pt idx="0">
                  <c:v>TBADA secondaire (%)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Projection!$P$38:$U$38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Projection!$P$39:$U$39</c:f>
              <c:numCache>
                <c:formatCode>General</c:formatCode>
                <c:ptCount val="6"/>
                <c:pt idx="0">
                  <c:v>48.9</c:v>
                </c:pt>
                <c:pt idx="1">
                  <c:v>51.6</c:v>
                </c:pt>
                <c:pt idx="2">
                  <c:v>54.3</c:v>
                </c:pt>
                <c:pt idx="3">
                  <c:v>57</c:v>
                </c:pt>
                <c:pt idx="4">
                  <c:v>59.6</c:v>
                </c:pt>
                <c:pt idx="5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0-4FDB-B4D9-E6BA44321B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7176160"/>
        <c:axId val="217173280"/>
      </c:barChart>
      <c:catAx>
        <c:axId val="21717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7173280"/>
        <c:crosses val="autoZero"/>
        <c:auto val="1"/>
        <c:lblAlgn val="ctr"/>
        <c:lblOffset val="100"/>
        <c:noMultiLvlLbl val="0"/>
      </c:catAx>
      <c:valAx>
        <c:axId val="217173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17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Projection!$O$67</c:f>
              <c:strCache>
                <c:ptCount val="1"/>
                <c:pt idx="0">
                  <c:v>Taux de réussite CEPE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Projection!$P$66:$U$66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Projection!$P$67:$U$67</c:f>
              <c:numCache>
                <c:formatCode>General</c:formatCode>
                <c:ptCount val="6"/>
                <c:pt idx="0">
                  <c:v>86.64</c:v>
                </c:pt>
                <c:pt idx="1">
                  <c:v>87.85</c:v>
                </c:pt>
                <c:pt idx="2">
                  <c:v>89.06</c:v>
                </c:pt>
                <c:pt idx="3">
                  <c:v>90.27</c:v>
                </c:pt>
                <c:pt idx="4">
                  <c:v>91.48</c:v>
                </c:pt>
                <c:pt idx="5">
                  <c:v>92.7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B-4753-857F-DB2027BCB5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7357632"/>
        <c:axId val="207366752"/>
      </c:barChart>
      <c:catAx>
        <c:axId val="20735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366752"/>
        <c:crosses val="autoZero"/>
        <c:auto val="1"/>
        <c:lblAlgn val="ctr"/>
        <c:lblOffset val="100"/>
        <c:noMultiLvlLbl val="0"/>
      </c:catAx>
      <c:valAx>
        <c:axId val="207366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3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096981627296587"/>
          <c:y val="0.17171296296296298"/>
          <c:w val="0.85847462817147857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Projection!$O$82</c:f>
              <c:strCache>
                <c:ptCount val="1"/>
                <c:pt idx="0">
                  <c:v>Dépense (% Dépense Total)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Projection!$P$81:$U$81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Projection!$P$82:$U$82</c:f>
              <c:numCache>
                <c:formatCode>0.000</c:formatCode>
                <c:ptCount val="6"/>
                <c:pt idx="0">
                  <c:v>16.796126999999998</c:v>
                </c:pt>
                <c:pt idx="1">
                  <c:v>17.142842000000002</c:v>
                </c:pt>
                <c:pt idx="2">
                  <c:v>17.435765</c:v>
                </c:pt>
                <c:pt idx="3">
                  <c:v>17.683243999999998</c:v>
                </c:pt>
                <c:pt idx="4">
                  <c:v>17.892327000000002</c:v>
                </c:pt>
                <c:pt idx="5">
                  <c:v>18.068973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5-4372-9FF6-536CB833FD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6173088"/>
        <c:axId val="185648176"/>
      </c:lineChart>
      <c:catAx>
        <c:axId val="13861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648176"/>
        <c:crosses val="autoZero"/>
        <c:auto val="1"/>
        <c:lblAlgn val="ctr"/>
        <c:lblOffset val="100"/>
        <c:noMultiLvlLbl val="0"/>
      </c:catAx>
      <c:valAx>
        <c:axId val="18564817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17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Projection!$O$101:$P$101</c:f>
              <c:strCache>
                <c:ptCount val="2"/>
                <c:pt idx="0">
                  <c:v>TBS(Primaire) Projection </c:v>
                </c:pt>
                <c:pt idx="1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Projection!$Q$100:$V$100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Projection!$Q$101:$V$101</c:f>
              <c:numCache>
                <c:formatCode>General</c:formatCode>
                <c:ptCount val="6"/>
                <c:pt idx="0">
                  <c:v>106.3</c:v>
                </c:pt>
                <c:pt idx="1">
                  <c:v>107.44</c:v>
                </c:pt>
                <c:pt idx="2">
                  <c:v>108.58</c:v>
                </c:pt>
                <c:pt idx="3">
                  <c:v>109.73</c:v>
                </c:pt>
                <c:pt idx="4">
                  <c:v>110.87</c:v>
                </c:pt>
                <c:pt idx="5">
                  <c:v>112.01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6-4192-A2C5-7335B836B8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7140640"/>
        <c:axId val="217146880"/>
      </c:barChart>
      <c:catAx>
        <c:axId val="21714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7146880"/>
        <c:crosses val="autoZero"/>
        <c:auto val="1"/>
        <c:lblAlgn val="ctr"/>
        <c:lblOffset val="100"/>
        <c:noMultiLvlLbl val="0"/>
      </c:catAx>
      <c:valAx>
        <c:axId val="217146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14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TNS projeté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Projection!$P$117</c:f>
              <c:strCache>
                <c:ptCount val="1"/>
                <c:pt idx="0">
                  <c:v>TNS projeté  (%)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Projection!$O$118:$O$123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Projection!$P$118:$P$123</c:f>
              <c:numCache>
                <c:formatCode>General</c:formatCode>
                <c:ptCount val="6"/>
                <c:pt idx="0">
                  <c:v>98.2</c:v>
                </c:pt>
                <c:pt idx="1">
                  <c:v>99.5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C-4CE1-A7F8-E95BF65993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335007"/>
        <c:axId val="133344127"/>
      </c:barChart>
      <c:catAx>
        <c:axId val="13333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44127"/>
        <c:crosses val="autoZero"/>
        <c:auto val="1"/>
        <c:lblAlgn val="ctr"/>
        <c:lblOffset val="100"/>
        <c:noMultiLvlLbl val="0"/>
      </c:catAx>
      <c:valAx>
        <c:axId val="1333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3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Projection!$P$132</c:f>
              <c:strCache>
                <c:ptCount val="1"/>
                <c:pt idx="0">
                  <c:v>TA Projection (%)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Projection!$O$133:$O$138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Projection!$P$133:$P$138</c:f>
              <c:numCache>
                <c:formatCode>General</c:formatCode>
                <c:ptCount val="6"/>
                <c:pt idx="0">
                  <c:v>86.6</c:v>
                </c:pt>
                <c:pt idx="1">
                  <c:v>88</c:v>
                </c:pt>
                <c:pt idx="2">
                  <c:v>89.4</c:v>
                </c:pt>
                <c:pt idx="3">
                  <c:v>90.8</c:v>
                </c:pt>
                <c:pt idx="4">
                  <c:v>92.1</c:v>
                </c:pt>
                <c:pt idx="5">
                  <c:v>93.4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2-4896-B1D5-EA85992A2F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2832751"/>
        <c:axId val="492820751"/>
      </c:barChart>
      <c:catAx>
        <c:axId val="492832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820751"/>
        <c:crosses val="autoZero"/>
        <c:auto val="1"/>
        <c:lblAlgn val="ctr"/>
        <c:lblOffset val="100"/>
        <c:noMultiLvlLbl val="0"/>
      </c:catAx>
      <c:valAx>
        <c:axId val="49282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83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Projection!$P$146</c:f>
              <c:strCache>
                <c:ptCount val="1"/>
                <c:pt idx="0">
                  <c:v>IPS primaire projeté 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Projection!$O$147:$O$152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Projection!$P$147:$P$152</c:f>
              <c:numCache>
                <c:formatCode>General</c:formatCode>
                <c:ptCount val="6"/>
                <c:pt idx="0">
                  <c:v>1.006</c:v>
                </c:pt>
                <c:pt idx="1">
                  <c:v>1.0089999999999999</c:v>
                </c:pt>
                <c:pt idx="2">
                  <c:v>1.0109999999999999</c:v>
                </c:pt>
                <c:pt idx="3">
                  <c:v>1.014</c:v>
                </c:pt>
                <c:pt idx="4">
                  <c:v>1.016</c:v>
                </c:pt>
                <c:pt idx="5">
                  <c:v>1.018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6-48EF-9646-B7CD3DD2BB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0923424"/>
        <c:axId val="220917184"/>
      </c:barChart>
      <c:catAx>
        <c:axId val="22092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0917184"/>
        <c:crosses val="autoZero"/>
        <c:auto val="1"/>
        <c:lblAlgn val="ctr"/>
        <c:lblOffset val="100"/>
        <c:noMultiLvlLbl val="0"/>
      </c:catAx>
      <c:valAx>
        <c:axId val="2209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092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rtg enseignantes </a:t>
            </a:r>
            <a:r>
              <a:rPr lang="en-US"/>
              <a:t>Projection (%)</a:t>
            </a:r>
          </a:p>
        </c:rich>
      </c:tx>
      <c:layout>
        <c:manualLayout>
          <c:xMode val="edge"/>
          <c:yMode val="edge"/>
          <c:x val="0.1161791242992265"/>
          <c:y val="5.23504934723949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Projection!$P$161</c:f>
              <c:strCache>
                <c:ptCount val="1"/>
                <c:pt idx="0">
                  <c:v>Prtg enseignante primaireProjection (%)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Projection!$O$162:$O$167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Projection!$P$162:$P$167</c:f>
              <c:numCache>
                <c:formatCode>General</c:formatCode>
                <c:ptCount val="6"/>
                <c:pt idx="0">
                  <c:v>38.9</c:v>
                </c:pt>
                <c:pt idx="1">
                  <c:v>39.9</c:v>
                </c:pt>
                <c:pt idx="2">
                  <c:v>40.9</c:v>
                </c:pt>
                <c:pt idx="3">
                  <c:v>41.9</c:v>
                </c:pt>
                <c:pt idx="4">
                  <c:v>42.8</c:v>
                </c:pt>
                <c:pt idx="5">
                  <c:v>43.7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C-4FC0-9C6E-086E52EC31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0320832"/>
        <c:axId val="220322752"/>
      </c:barChart>
      <c:catAx>
        <c:axId val="22032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0322752"/>
        <c:crosses val="autoZero"/>
        <c:auto val="1"/>
        <c:lblAlgn val="ctr"/>
        <c:lblOffset val="100"/>
        <c:noMultiLvlLbl val="0"/>
      </c:catAx>
      <c:valAx>
        <c:axId val="2203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03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412919</xdr:colOff>
      <xdr:row>21</xdr:row>
      <xdr:rowOff>148552</xdr:rowOff>
    </xdr:from>
    <xdr:to>
      <xdr:col>32</xdr:col>
      <xdr:colOff>85671</xdr:colOff>
      <xdr:row>32</xdr:row>
      <xdr:rowOff>148016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4B5092A-F87A-4A2A-DC13-09CDC05E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221605</xdr:colOff>
      <xdr:row>7</xdr:row>
      <xdr:rowOff>169819</xdr:rowOff>
    </xdr:from>
    <xdr:to>
      <xdr:col>32</xdr:col>
      <xdr:colOff>243884</xdr:colOff>
      <xdr:row>20</xdr:row>
      <xdr:rowOff>17764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C4C0660-3913-23DE-E0F0-FF1EAB505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749746</xdr:colOff>
      <xdr:row>109</xdr:row>
      <xdr:rowOff>103232</xdr:rowOff>
    </xdr:from>
    <xdr:to>
      <xdr:col>32</xdr:col>
      <xdr:colOff>760982</xdr:colOff>
      <xdr:row>124</xdr:row>
      <xdr:rowOff>7633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B5261AF-584F-5640-E865-4E09F1FC3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439269</xdr:colOff>
      <xdr:row>160</xdr:row>
      <xdr:rowOff>192408</xdr:rowOff>
    </xdr:from>
    <xdr:to>
      <xdr:col>31</xdr:col>
      <xdr:colOff>466006</xdr:colOff>
      <xdr:row>175</xdr:row>
      <xdr:rowOff>73991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B06022EC-571E-D4B3-276A-A09EA9530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379451</xdr:colOff>
      <xdr:row>39</xdr:row>
      <xdr:rowOff>33053</xdr:rowOff>
    </xdr:from>
    <xdr:to>
      <xdr:col>31</xdr:col>
      <xdr:colOff>406188</xdr:colOff>
      <xdr:row>53</xdr:row>
      <xdr:rowOff>128725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BEB76ED6-2919-0284-3288-103B7D8E1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360075</xdr:colOff>
      <xdr:row>56</xdr:row>
      <xdr:rowOff>147847</xdr:rowOff>
    </xdr:from>
    <xdr:to>
      <xdr:col>34</xdr:col>
      <xdr:colOff>386812</xdr:colOff>
      <xdr:row>71</xdr:row>
      <xdr:rowOff>18773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209BC0A5-72AA-CB22-2B99-B5F4C6EB6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219127</xdr:colOff>
      <xdr:row>85</xdr:row>
      <xdr:rowOff>170612</xdr:rowOff>
    </xdr:from>
    <xdr:to>
      <xdr:col>32</xdr:col>
      <xdr:colOff>245864</xdr:colOff>
      <xdr:row>100</xdr:row>
      <xdr:rowOff>69148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9CF89921-09B2-3CFF-0A70-5B04524A9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524566</xdr:colOff>
      <xdr:row>137</xdr:row>
      <xdr:rowOff>175456</xdr:rowOff>
    </xdr:from>
    <xdr:to>
      <xdr:col>31</xdr:col>
      <xdr:colOff>577218</xdr:colOff>
      <xdr:row>152</xdr:row>
      <xdr:rowOff>73991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23B5FC91-1FA3-F2CD-168B-E3CB76EF4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441739</xdr:colOff>
      <xdr:row>197</xdr:row>
      <xdr:rowOff>124239</xdr:rowOff>
    </xdr:from>
    <xdr:to>
      <xdr:col>32</xdr:col>
      <xdr:colOff>477868</xdr:colOff>
      <xdr:row>211</xdr:row>
      <xdr:rowOff>87160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71F8C60E-36F3-4261-AC57-21DFCC1A3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710417</xdr:colOff>
      <xdr:row>5</xdr:row>
      <xdr:rowOff>76703</xdr:rowOff>
    </xdr:from>
    <xdr:to>
      <xdr:col>28</xdr:col>
      <xdr:colOff>267795</xdr:colOff>
      <xdr:row>18</xdr:row>
      <xdr:rowOff>178108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239D708-23AD-A5C0-DA3C-BCE381AAD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604274</xdr:colOff>
      <xdr:row>31</xdr:row>
      <xdr:rowOff>10243</xdr:rowOff>
    </xdr:from>
    <xdr:to>
      <xdr:col>26</xdr:col>
      <xdr:colOff>709450</xdr:colOff>
      <xdr:row>45</xdr:row>
      <xdr:rowOff>66449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3C8E0D3-2D86-4820-A512-5CD2D6546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225322</xdr:colOff>
      <xdr:row>59</xdr:row>
      <xdr:rowOff>61451</xdr:rowOff>
    </xdr:from>
    <xdr:to>
      <xdr:col>26</xdr:col>
      <xdr:colOff>270535</xdr:colOff>
      <xdr:row>73</xdr:row>
      <xdr:rowOff>135419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600D53B-2267-4F6F-B775-4B61B2C28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122903</xdr:colOff>
      <xdr:row>76</xdr:row>
      <xdr:rowOff>102420</xdr:rowOff>
    </xdr:from>
    <xdr:to>
      <xdr:col>26</xdr:col>
      <xdr:colOff>267653</xdr:colOff>
      <xdr:row>90</xdr:row>
      <xdr:rowOff>170444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C99C586-F4A5-4569-AB46-E94338ECF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153629</xdr:colOff>
      <xdr:row>93</xdr:row>
      <xdr:rowOff>30726</xdr:rowOff>
    </xdr:from>
    <xdr:to>
      <xdr:col>27</xdr:col>
      <xdr:colOff>199100</xdr:colOff>
      <xdr:row>109</xdr:row>
      <xdr:rowOff>73421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31EFAD2-8BB6-4B1C-B616-B8D457590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788629</xdr:colOff>
      <xdr:row>113</xdr:row>
      <xdr:rowOff>133145</xdr:rowOff>
    </xdr:from>
    <xdr:to>
      <xdr:col>21</xdr:col>
      <xdr:colOff>258324</xdr:colOff>
      <xdr:row>125</xdr:row>
      <xdr:rowOff>74110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007751D-0D35-4B4F-82FC-2DF56F8B3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809113</xdr:colOff>
      <xdr:row>129</xdr:row>
      <xdr:rowOff>10242</xdr:rowOff>
    </xdr:from>
    <xdr:to>
      <xdr:col>20</xdr:col>
      <xdr:colOff>818213</xdr:colOff>
      <xdr:row>139</xdr:row>
      <xdr:rowOff>20652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E54293E-52A3-4D3B-99E1-3A4CD5D21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747662</xdr:colOff>
      <xdr:row>143</xdr:row>
      <xdr:rowOff>81935</xdr:rowOff>
    </xdr:from>
    <xdr:to>
      <xdr:col>21</xdr:col>
      <xdr:colOff>1457</xdr:colOff>
      <xdr:row>155</xdr:row>
      <xdr:rowOff>146775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7C6F0462-FB02-4EE1-BD66-EB219A7AB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522340</xdr:colOff>
      <xdr:row>157</xdr:row>
      <xdr:rowOff>153629</xdr:rowOff>
    </xdr:from>
    <xdr:to>
      <xdr:col>20</xdr:col>
      <xdr:colOff>801367</xdr:colOff>
      <xdr:row>169</xdr:row>
      <xdr:rowOff>154969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B86BF378-A3B2-43EB-8B67-A9826AC55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E6F7-D152-4588-A00E-F177C3CFA242}">
  <sheetPr codeName="Feuil1"/>
  <dimension ref="A1:BS223"/>
  <sheetViews>
    <sheetView topLeftCell="E1" zoomScale="54" zoomScaleNormal="23" workbookViewId="0">
      <selection activeCell="P12" sqref="P12"/>
    </sheetView>
  </sheetViews>
  <sheetFormatPr baseColWidth="10" defaultRowHeight="14.5"/>
  <cols>
    <col min="1" max="1" width="52.453125" customWidth="1"/>
    <col min="13" max="13" width="10.90625" customWidth="1"/>
    <col min="14" max="14" width="10.90625" style="52" customWidth="1"/>
    <col min="15" max="15" width="52" customWidth="1"/>
    <col min="20" max="20" width="10.90625" customWidth="1"/>
    <col min="34" max="34" width="10.90625" hidden="1" customWidth="1"/>
    <col min="35" max="35" width="22.08984375" style="52" customWidth="1"/>
    <col min="45" max="45" width="10.90625" customWidth="1"/>
    <col min="46" max="46" width="16.81640625" customWidth="1"/>
    <col min="47" max="47" width="13.90625" customWidth="1"/>
    <col min="48" max="48" width="12.08984375" customWidth="1"/>
    <col min="49" max="49" width="12.453125" customWidth="1"/>
    <col min="50" max="50" width="15.08984375" customWidth="1"/>
    <col min="51" max="51" width="13.7265625" customWidth="1"/>
    <col min="52" max="52" width="13.08984375" customWidth="1"/>
    <col min="53" max="53" width="16.26953125" customWidth="1"/>
    <col min="54" max="54" width="15.90625" customWidth="1"/>
    <col min="55" max="55" width="12.453125" customWidth="1"/>
    <col min="56" max="56" width="14.54296875" customWidth="1"/>
    <col min="60" max="60" width="10.90625" customWidth="1"/>
    <col min="74" max="74" width="32.453125" customWidth="1"/>
  </cols>
  <sheetData>
    <row r="1" spans="1:71" ht="14.5" customHeight="1">
      <c r="A1" s="64" t="s">
        <v>297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  <c r="O1" s="64" t="s">
        <v>299</v>
      </c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4"/>
    </row>
    <row r="2" spans="1:7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  <c r="O2" s="75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7"/>
    </row>
    <row r="3" spans="1:71" ht="15" thickBot="1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  <c r="O3" s="78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80"/>
    </row>
    <row r="4" spans="1:71">
      <c r="A4" s="49" t="s">
        <v>96</v>
      </c>
      <c r="B4" s="49" t="s">
        <v>97</v>
      </c>
      <c r="C4" s="49" t="s">
        <v>106</v>
      </c>
      <c r="D4" s="49" t="s">
        <v>107</v>
      </c>
      <c r="E4" s="49" t="s">
        <v>108</v>
      </c>
      <c r="F4" s="49" t="s">
        <v>109</v>
      </c>
      <c r="G4" s="49" t="s">
        <v>110</v>
      </c>
      <c r="H4" s="49" t="s">
        <v>111</v>
      </c>
      <c r="I4" s="49" t="s">
        <v>112</v>
      </c>
      <c r="J4" s="49" t="s">
        <v>113</v>
      </c>
      <c r="K4" s="49" t="s">
        <v>114</v>
      </c>
      <c r="L4" s="49" t="s">
        <v>115</v>
      </c>
      <c r="M4" s="49" t="s">
        <v>116</v>
      </c>
    </row>
    <row r="5" spans="1:71">
      <c r="A5" s="11" t="s">
        <v>212</v>
      </c>
      <c r="B5" s="19" t="s">
        <v>98</v>
      </c>
      <c r="C5" s="19">
        <v>3370558</v>
      </c>
      <c r="D5" s="19">
        <v>3617219</v>
      </c>
      <c r="E5" s="19">
        <v>3772136</v>
      </c>
      <c r="F5" s="19">
        <v>3900222</v>
      </c>
      <c r="G5" s="19">
        <v>4003884</v>
      </c>
      <c r="H5" s="19">
        <v>4101430</v>
      </c>
      <c r="I5" s="19">
        <v>4102825</v>
      </c>
      <c r="J5" s="19">
        <v>4252503</v>
      </c>
      <c r="K5" s="19">
        <v>4632727</v>
      </c>
      <c r="L5" s="19">
        <v>4817661</v>
      </c>
      <c r="M5" s="19" t="s">
        <v>37</v>
      </c>
    </row>
    <row r="6" spans="1:71">
      <c r="A6" s="11" t="s">
        <v>117</v>
      </c>
      <c r="B6" s="19" t="s">
        <v>99</v>
      </c>
      <c r="C6" s="19">
        <v>95.5</v>
      </c>
      <c r="D6" s="19">
        <v>101.3</v>
      </c>
      <c r="E6" s="19">
        <v>104.6</v>
      </c>
      <c r="F6" s="19">
        <v>100.6</v>
      </c>
      <c r="G6" s="19">
        <v>101.1</v>
      </c>
      <c r="H6" s="19">
        <v>101.2</v>
      </c>
      <c r="I6" s="19">
        <v>98</v>
      </c>
      <c r="J6" s="19">
        <v>101.1</v>
      </c>
      <c r="K6" s="19">
        <v>104.8</v>
      </c>
      <c r="L6" s="19">
        <v>105.93</v>
      </c>
      <c r="M6" s="19" t="s">
        <v>37</v>
      </c>
    </row>
    <row r="7" spans="1:71">
      <c r="A7" s="11" t="s">
        <v>189</v>
      </c>
      <c r="B7" s="19" t="s">
        <v>99</v>
      </c>
      <c r="C7" s="19" t="s">
        <v>118</v>
      </c>
      <c r="D7" s="19" t="s">
        <v>119</v>
      </c>
      <c r="E7" s="19" t="s">
        <v>120</v>
      </c>
      <c r="F7" s="19" t="s">
        <v>121</v>
      </c>
      <c r="G7" s="19" t="s">
        <v>48</v>
      </c>
      <c r="H7" s="19" t="s">
        <v>122</v>
      </c>
      <c r="I7" s="19" t="s">
        <v>123</v>
      </c>
      <c r="J7" s="19" t="s">
        <v>124</v>
      </c>
      <c r="K7" s="19" t="s">
        <v>125</v>
      </c>
      <c r="L7" s="19" t="s">
        <v>126</v>
      </c>
      <c r="M7" s="19" t="s">
        <v>37</v>
      </c>
    </row>
    <row r="8" spans="1:71" ht="15" thickBot="1">
      <c r="A8" s="11" t="s">
        <v>213</v>
      </c>
      <c r="B8" s="19" t="s">
        <v>99</v>
      </c>
      <c r="C8" s="19" t="s">
        <v>127</v>
      </c>
      <c r="D8" s="19" t="s">
        <v>128</v>
      </c>
      <c r="E8" s="19" t="s">
        <v>129</v>
      </c>
      <c r="F8" s="19" t="s">
        <v>130</v>
      </c>
      <c r="G8" s="19" t="s">
        <v>131</v>
      </c>
      <c r="H8" s="19" t="s">
        <v>104</v>
      </c>
      <c r="I8" s="19" t="s">
        <v>132</v>
      </c>
      <c r="J8" s="19" t="s">
        <v>133</v>
      </c>
      <c r="K8" s="19" t="s">
        <v>25</v>
      </c>
      <c r="L8" s="19" t="s">
        <v>102</v>
      </c>
      <c r="M8" s="19" t="s">
        <v>37</v>
      </c>
      <c r="BG8" s="35"/>
    </row>
    <row r="9" spans="1:71" ht="16.5" thickBot="1">
      <c r="A9" s="11" t="s">
        <v>214</v>
      </c>
      <c r="B9" s="19" t="s">
        <v>134</v>
      </c>
      <c r="C9" s="19">
        <v>0.88</v>
      </c>
      <c r="D9" s="19">
        <v>0.89</v>
      </c>
      <c r="E9" s="19">
        <v>0.91</v>
      </c>
      <c r="F9" s="19">
        <v>0.92</v>
      </c>
      <c r="G9" s="19">
        <v>0.93</v>
      </c>
      <c r="H9" s="19">
        <v>0.94</v>
      </c>
      <c r="I9" s="19" t="s">
        <v>105</v>
      </c>
      <c r="J9" s="19">
        <v>1.05</v>
      </c>
      <c r="K9" s="19">
        <v>1</v>
      </c>
      <c r="L9" s="19">
        <v>1.03</v>
      </c>
      <c r="M9" s="19" t="s">
        <v>37</v>
      </c>
      <c r="O9" s="8" t="s">
        <v>187</v>
      </c>
      <c r="P9" s="6" t="s">
        <v>97</v>
      </c>
      <c r="Q9" s="1" t="s">
        <v>106</v>
      </c>
      <c r="R9" s="1" t="s">
        <v>107</v>
      </c>
      <c r="S9" s="1" t="s">
        <v>108</v>
      </c>
      <c r="T9" s="1" t="s">
        <v>109</v>
      </c>
      <c r="U9" s="1" t="s">
        <v>110</v>
      </c>
      <c r="V9" s="1" t="s">
        <v>111</v>
      </c>
      <c r="W9" s="1" t="s">
        <v>112</v>
      </c>
      <c r="X9" s="1" t="s">
        <v>113</v>
      </c>
      <c r="Y9" s="1" t="s">
        <v>114</v>
      </c>
      <c r="Z9" s="1" t="s">
        <v>115</v>
      </c>
      <c r="BG9" s="36"/>
    </row>
    <row r="10" spans="1:71" ht="15" thickBot="1">
      <c r="A10" s="11" t="s">
        <v>135</v>
      </c>
      <c r="B10" s="19" t="s">
        <v>98</v>
      </c>
      <c r="C10" s="19">
        <v>1796107</v>
      </c>
      <c r="D10" s="19">
        <v>1912203</v>
      </c>
      <c r="E10" s="19">
        <v>1979050</v>
      </c>
      <c r="F10" s="19">
        <v>2031834</v>
      </c>
      <c r="G10" s="19">
        <v>2071585</v>
      </c>
      <c r="H10" s="19">
        <v>2119318</v>
      </c>
      <c r="I10" s="19">
        <v>2110267</v>
      </c>
      <c r="J10" s="19">
        <v>2183696</v>
      </c>
      <c r="K10" s="19">
        <v>2378563</v>
      </c>
      <c r="L10" s="19">
        <v>2404651</v>
      </c>
      <c r="M10" s="19" t="s">
        <v>37</v>
      </c>
      <c r="O10" s="7" t="s">
        <v>117</v>
      </c>
      <c r="P10" s="2" t="s">
        <v>99</v>
      </c>
      <c r="Q10" s="2">
        <v>95.5</v>
      </c>
      <c r="R10" s="2">
        <v>101.3</v>
      </c>
      <c r="S10" s="2">
        <v>104.6</v>
      </c>
      <c r="T10" s="2">
        <v>100.6</v>
      </c>
      <c r="U10" s="2">
        <v>101.1</v>
      </c>
      <c r="V10" s="2">
        <v>101.2</v>
      </c>
      <c r="W10" s="2">
        <v>98</v>
      </c>
      <c r="X10" s="2">
        <v>101.1</v>
      </c>
      <c r="Y10" s="2">
        <v>104.8</v>
      </c>
      <c r="Z10" s="2">
        <v>105.93</v>
      </c>
    </row>
    <row r="11" spans="1:71">
      <c r="A11" s="11" t="s">
        <v>136</v>
      </c>
      <c r="B11" s="19" t="s">
        <v>98</v>
      </c>
      <c r="C11" s="19">
        <v>1574451</v>
      </c>
      <c r="D11" s="19">
        <v>1705016</v>
      </c>
      <c r="E11" s="19">
        <v>1793086</v>
      </c>
      <c r="F11" s="19">
        <v>1868388</v>
      </c>
      <c r="G11" s="19">
        <v>1932299</v>
      </c>
      <c r="H11" s="19">
        <v>1982112</v>
      </c>
      <c r="I11" s="19">
        <v>1992558</v>
      </c>
      <c r="J11" s="19">
        <v>2068807</v>
      </c>
      <c r="K11" s="19">
        <v>2254174</v>
      </c>
      <c r="L11" s="19">
        <v>2413010</v>
      </c>
      <c r="M11" s="19" t="s">
        <v>37</v>
      </c>
    </row>
    <row r="12" spans="1:71" ht="19.5" customHeight="1">
      <c r="A12" s="11" t="s">
        <v>137</v>
      </c>
      <c r="B12" s="19" t="s">
        <v>98</v>
      </c>
      <c r="C12" s="19">
        <v>57906</v>
      </c>
      <c r="D12" s="19">
        <v>61258</v>
      </c>
      <c r="E12" s="19">
        <v>62321</v>
      </c>
      <c r="F12" s="19">
        <v>64474</v>
      </c>
      <c r="G12" s="19">
        <v>65364</v>
      </c>
      <c r="H12" s="19">
        <v>66240</v>
      </c>
      <c r="I12" s="19">
        <v>65175</v>
      </c>
      <c r="J12" s="19">
        <v>65051</v>
      </c>
      <c r="K12" s="19">
        <v>66415</v>
      </c>
      <c r="L12" s="19">
        <v>64815</v>
      </c>
      <c r="M12" s="19" t="s">
        <v>37</v>
      </c>
      <c r="BI12" s="37"/>
      <c r="BJ12" s="37" t="s">
        <v>187</v>
      </c>
      <c r="BK12" s="37" t="s">
        <v>220</v>
      </c>
      <c r="BL12" s="37" t="s">
        <v>249</v>
      </c>
      <c r="BQ12" s="37"/>
      <c r="BR12" s="37" t="s">
        <v>187</v>
      </c>
      <c r="BS12" s="37" t="s">
        <v>268</v>
      </c>
    </row>
    <row r="13" spans="1:71">
      <c r="A13" s="11" t="s">
        <v>138</v>
      </c>
      <c r="B13" s="19" t="s">
        <v>98</v>
      </c>
      <c r="C13" s="19">
        <v>22249</v>
      </c>
      <c r="D13" s="19">
        <v>23851</v>
      </c>
      <c r="E13" s="19">
        <v>26435</v>
      </c>
      <c r="F13" s="19">
        <v>28783</v>
      </c>
      <c r="G13" s="19">
        <v>30892</v>
      </c>
      <c r="H13" s="19">
        <v>34845</v>
      </c>
      <c r="I13" s="19">
        <v>35088</v>
      </c>
      <c r="J13" s="19">
        <v>36619</v>
      </c>
      <c r="K13" s="19">
        <v>39087</v>
      </c>
      <c r="L13" s="19">
        <v>39603</v>
      </c>
      <c r="M13" s="19" t="s">
        <v>37</v>
      </c>
      <c r="BI13" s="37">
        <v>0</v>
      </c>
      <c r="BJ13" s="38" t="s">
        <v>106</v>
      </c>
      <c r="BK13" s="38" t="s">
        <v>221</v>
      </c>
      <c r="BL13" s="38" t="s">
        <v>250</v>
      </c>
      <c r="BQ13" s="37">
        <v>0</v>
      </c>
      <c r="BR13" s="38">
        <v>2013</v>
      </c>
      <c r="BS13" s="38" t="s">
        <v>269</v>
      </c>
    </row>
    <row r="14" spans="1:71">
      <c r="A14" s="11" t="s">
        <v>215</v>
      </c>
      <c r="B14" s="19" t="s">
        <v>98</v>
      </c>
      <c r="C14" s="19">
        <v>14857</v>
      </c>
      <c r="D14" s="19">
        <v>15547</v>
      </c>
      <c r="E14" s="19">
        <v>16324</v>
      </c>
      <c r="F14" s="19">
        <v>16957</v>
      </c>
      <c r="G14" s="19">
        <v>17615</v>
      </c>
      <c r="H14" s="19">
        <v>18258</v>
      </c>
      <c r="I14" s="19">
        <v>18757</v>
      </c>
      <c r="J14" s="19">
        <v>19132</v>
      </c>
      <c r="K14" s="19">
        <v>19470</v>
      </c>
      <c r="L14" s="19">
        <v>19898</v>
      </c>
      <c r="M14" s="19" t="s">
        <v>37</v>
      </c>
      <c r="BI14" s="37">
        <v>1</v>
      </c>
      <c r="BJ14" s="38" t="s">
        <v>107</v>
      </c>
      <c r="BK14" s="38" t="s">
        <v>222</v>
      </c>
      <c r="BL14" s="38" t="s">
        <v>251</v>
      </c>
      <c r="BQ14" s="37">
        <v>1</v>
      </c>
      <c r="BR14" s="38">
        <v>2014</v>
      </c>
      <c r="BS14" s="38" t="s">
        <v>270</v>
      </c>
    </row>
    <row r="15" spans="1:71">
      <c r="A15" s="11" t="s">
        <v>205</v>
      </c>
      <c r="B15" s="19" t="s">
        <v>99</v>
      </c>
      <c r="C15" s="19" t="s">
        <v>139</v>
      </c>
      <c r="D15" s="19" t="s">
        <v>140</v>
      </c>
      <c r="E15" s="19" t="s">
        <v>141</v>
      </c>
      <c r="F15" s="19" t="s">
        <v>142</v>
      </c>
      <c r="G15" s="19" t="s">
        <v>143</v>
      </c>
      <c r="H15" s="19" t="s">
        <v>101</v>
      </c>
      <c r="I15" s="19" t="s">
        <v>144</v>
      </c>
      <c r="J15" s="19" t="s">
        <v>12</v>
      </c>
      <c r="K15" s="19" t="s">
        <v>47</v>
      </c>
      <c r="L15" s="19" t="s">
        <v>100</v>
      </c>
      <c r="M15" s="19" t="s">
        <v>37</v>
      </c>
      <c r="BI15" s="37">
        <v>2</v>
      </c>
      <c r="BJ15" s="38" t="s">
        <v>108</v>
      </c>
      <c r="BK15" s="38" t="s">
        <v>223</v>
      </c>
      <c r="BL15" s="38" t="s">
        <v>252</v>
      </c>
      <c r="BQ15" s="37">
        <v>2</v>
      </c>
      <c r="BR15" s="38">
        <v>2015</v>
      </c>
      <c r="BS15" s="38" t="s">
        <v>271</v>
      </c>
    </row>
    <row r="16" spans="1:71">
      <c r="A16" s="11" t="s">
        <v>207</v>
      </c>
      <c r="B16" s="19" t="s">
        <v>99</v>
      </c>
      <c r="C16" s="19" t="s">
        <v>145</v>
      </c>
      <c r="D16" s="19" t="s">
        <v>60</v>
      </c>
      <c r="E16" s="19" t="s">
        <v>146</v>
      </c>
      <c r="F16" s="19" t="s">
        <v>147</v>
      </c>
      <c r="G16" s="19" t="s">
        <v>148</v>
      </c>
      <c r="H16" s="19" t="s">
        <v>149</v>
      </c>
      <c r="I16" s="19" t="s">
        <v>150</v>
      </c>
      <c r="J16" s="19" t="s">
        <v>151</v>
      </c>
      <c r="K16" s="19" t="s">
        <v>152</v>
      </c>
      <c r="L16" s="19" t="s">
        <v>103</v>
      </c>
      <c r="M16" s="19" t="s">
        <v>37</v>
      </c>
      <c r="BI16" s="37">
        <v>3</v>
      </c>
      <c r="BJ16" s="38" t="s">
        <v>109</v>
      </c>
      <c r="BK16" s="38" t="s">
        <v>224</v>
      </c>
      <c r="BL16" s="38" t="s">
        <v>253</v>
      </c>
      <c r="BQ16" s="37">
        <v>3</v>
      </c>
      <c r="BR16" s="38">
        <v>2016</v>
      </c>
      <c r="BS16" s="38" t="s">
        <v>272</v>
      </c>
    </row>
    <row r="17" spans="1:71" ht="15.5" customHeight="1">
      <c r="A17" s="11" t="s">
        <v>153</v>
      </c>
      <c r="B17" s="19" t="s">
        <v>98</v>
      </c>
      <c r="C17" s="19">
        <v>875761</v>
      </c>
      <c r="D17" s="19">
        <v>949729</v>
      </c>
      <c r="E17" s="19">
        <v>1033523</v>
      </c>
      <c r="F17" s="19">
        <v>1092910</v>
      </c>
      <c r="G17" s="19">
        <v>1182014</v>
      </c>
      <c r="H17" s="19">
        <v>1244454</v>
      </c>
      <c r="I17" s="19">
        <v>1313896</v>
      </c>
      <c r="J17" s="19">
        <v>1271047</v>
      </c>
      <c r="K17" s="19">
        <v>1266379</v>
      </c>
      <c r="L17" s="19">
        <v>1612591</v>
      </c>
      <c r="M17" s="19" t="s">
        <v>37</v>
      </c>
      <c r="BI17" s="37">
        <v>4</v>
      </c>
      <c r="BJ17" s="38" t="s">
        <v>110</v>
      </c>
      <c r="BK17" s="38" t="s">
        <v>225</v>
      </c>
      <c r="BL17" s="38" t="s">
        <v>254</v>
      </c>
      <c r="BQ17" s="37">
        <v>4</v>
      </c>
      <c r="BR17" s="38">
        <v>2017</v>
      </c>
      <c r="BS17" s="38" t="s">
        <v>273</v>
      </c>
    </row>
    <row r="18" spans="1:71">
      <c r="A18" s="11" t="s">
        <v>154</v>
      </c>
      <c r="B18" s="19" t="s">
        <v>98</v>
      </c>
      <c r="C18" s="19">
        <v>603244</v>
      </c>
      <c r="D18" s="19">
        <v>672145</v>
      </c>
      <c r="E18" s="19">
        <v>757660</v>
      </c>
      <c r="F18" s="19">
        <v>830853</v>
      </c>
      <c r="G18" s="19">
        <v>928485</v>
      </c>
      <c r="H18" s="19">
        <v>1020515</v>
      </c>
      <c r="I18" s="19">
        <v>1122118</v>
      </c>
      <c r="J18" s="19">
        <v>1120363</v>
      </c>
      <c r="K18" s="19">
        <v>1164012</v>
      </c>
      <c r="L18" s="19">
        <v>1505190</v>
      </c>
      <c r="M18" s="19" t="s">
        <v>37</v>
      </c>
      <c r="BI18" s="37">
        <v>5</v>
      </c>
      <c r="BJ18" s="38" t="s">
        <v>111</v>
      </c>
      <c r="BK18" s="38" t="s">
        <v>226</v>
      </c>
      <c r="BL18" s="38" t="s">
        <v>255</v>
      </c>
      <c r="BQ18" s="37">
        <v>5</v>
      </c>
      <c r="BR18" s="38">
        <v>2018</v>
      </c>
      <c r="BS18" s="38" t="s">
        <v>274</v>
      </c>
    </row>
    <row r="19" spans="1:71">
      <c r="A19" s="11" t="s">
        <v>216</v>
      </c>
      <c r="B19" s="19" t="s">
        <v>98</v>
      </c>
      <c r="C19" s="19">
        <v>1373</v>
      </c>
      <c r="D19" s="19">
        <v>1479</v>
      </c>
      <c r="E19" s="19">
        <v>1641</v>
      </c>
      <c r="F19" s="19">
        <v>1778</v>
      </c>
      <c r="G19" s="19">
        <v>2019</v>
      </c>
      <c r="H19" s="19">
        <v>2331</v>
      </c>
      <c r="I19" s="19">
        <v>2737</v>
      </c>
      <c r="J19" s="19">
        <v>3026</v>
      </c>
      <c r="K19" s="19">
        <v>3430</v>
      </c>
      <c r="L19" s="19">
        <v>3590</v>
      </c>
      <c r="M19" s="19" t="s">
        <v>37</v>
      </c>
      <c r="BI19" s="37">
        <v>6</v>
      </c>
      <c r="BJ19" s="38" t="s">
        <v>112</v>
      </c>
      <c r="BK19" s="38" t="s">
        <v>227</v>
      </c>
      <c r="BL19" s="38" t="s">
        <v>256</v>
      </c>
      <c r="BQ19" s="37">
        <v>6</v>
      </c>
      <c r="BR19" s="38">
        <v>2019</v>
      </c>
      <c r="BS19" s="38" t="s">
        <v>275</v>
      </c>
    </row>
    <row r="20" spans="1:71" ht="15" customHeight="1">
      <c r="A20" s="11" t="s">
        <v>199</v>
      </c>
      <c r="B20" s="19" t="s">
        <v>99</v>
      </c>
      <c r="C20" s="19" t="s">
        <v>155</v>
      </c>
      <c r="D20" s="19" t="s">
        <v>156</v>
      </c>
      <c r="E20" s="19" t="s">
        <v>157</v>
      </c>
      <c r="F20" s="19" t="s">
        <v>158</v>
      </c>
      <c r="G20" s="19" t="s">
        <v>159</v>
      </c>
      <c r="H20" s="19" t="s">
        <v>37</v>
      </c>
      <c r="I20" s="19" t="s">
        <v>160</v>
      </c>
      <c r="J20" s="19" t="s">
        <v>161</v>
      </c>
      <c r="K20" s="19" t="s">
        <v>162</v>
      </c>
      <c r="L20" s="19" t="s">
        <v>163</v>
      </c>
      <c r="M20" s="19" t="s">
        <v>164</v>
      </c>
      <c r="BI20" s="37">
        <v>7</v>
      </c>
      <c r="BJ20" s="38" t="s">
        <v>113</v>
      </c>
      <c r="BK20" s="38" t="s">
        <v>228</v>
      </c>
      <c r="BL20" s="38" t="s">
        <v>257</v>
      </c>
      <c r="BQ20" s="37">
        <v>7</v>
      </c>
      <c r="BR20" s="38">
        <v>2020</v>
      </c>
      <c r="BS20" s="38" t="s">
        <v>276</v>
      </c>
    </row>
    <row r="21" spans="1:71" ht="16.5" customHeight="1">
      <c r="A21" s="11" t="s">
        <v>217</v>
      </c>
      <c r="B21" s="19" t="s">
        <v>99</v>
      </c>
      <c r="C21" s="19" t="s">
        <v>165</v>
      </c>
      <c r="D21" s="19" t="s">
        <v>166</v>
      </c>
      <c r="E21" s="19" t="s">
        <v>167</v>
      </c>
      <c r="F21" s="19" t="s">
        <v>168</v>
      </c>
      <c r="G21" s="19" t="s">
        <v>169</v>
      </c>
      <c r="H21" s="19" t="s">
        <v>170</v>
      </c>
      <c r="I21" s="19" t="s">
        <v>171</v>
      </c>
      <c r="J21" s="19" t="s">
        <v>172</v>
      </c>
      <c r="K21" s="19" t="s">
        <v>173</v>
      </c>
      <c r="L21" s="19" t="s">
        <v>174</v>
      </c>
      <c r="M21" s="19" t="s">
        <v>175</v>
      </c>
      <c r="BI21" s="37">
        <v>8</v>
      </c>
      <c r="BJ21" s="38" t="s">
        <v>114</v>
      </c>
      <c r="BK21" s="38" t="s">
        <v>229</v>
      </c>
      <c r="BL21" s="38" t="s">
        <v>258</v>
      </c>
      <c r="BQ21" s="37">
        <v>8</v>
      </c>
      <c r="BR21" s="38">
        <v>2021</v>
      </c>
      <c r="BS21" s="38" t="s">
        <v>277</v>
      </c>
    </row>
    <row r="22" spans="1:71">
      <c r="A22" s="11" t="s">
        <v>218</v>
      </c>
      <c r="B22" s="19" t="s">
        <v>99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180</v>
      </c>
      <c r="H22" s="19" t="s">
        <v>181</v>
      </c>
      <c r="I22" s="19" t="s">
        <v>182</v>
      </c>
      <c r="J22" s="19" t="s">
        <v>183</v>
      </c>
      <c r="K22" s="19" t="s">
        <v>184</v>
      </c>
      <c r="L22" s="19" t="s">
        <v>185</v>
      </c>
      <c r="M22" s="19" t="s">
        <v>186</v>
      </c>
      <c r="BI22" s="37">
        <v>9</v>
      </c>
      <c r="BJ22" s="38" t="s">
        <v>115</v>
      </c>
      <c r="BK22" s="38" t="s">
        <v>230</v>
      </c>
      <c r="BL22" s="38" t="s">
        <v>259</v>
      </c>
      <c r="BQ22" s="37">
        <v>9</v>
      </c>
      <c r="BR22" s="38">
        <v>2022</v>
      </c>
      <c r="BS22" s="38" t="s">
        <v>278</v>
      </c>
    </row>
    <row r="23" spans="1:71">
      <c r="A23" s="32" t="s">
        <v>210</v>
      </c>
      <c r="B23" s="26" t="s">
        <v>98</v>
      </c>
      <c r="C23" s="33">
        <v>44307</v>
      </c>
      <c r="D23" s="33">
        <v>45892</v>
      </c>
      <c r="E23" s="33">
        <v>50402</v>
      </c>
      <c r="F23" s="33">
        <v>50548</v>
      </c>
      <c r="G23" s="33">
        <v>53033</v>
      </c>
      <c r="H23" s="33">
        <v>61333</v>
      </c>
      <c r="I23" s="33">
        <v>60951</v>
      </c>
      <c r="J23" s="33">
        <v>67882</v>
      </c>
      <c r="K23" s="33">
        <v>67935</v>
      </c>
      <c r="L23" s="33">
        <v>72195</v>
      </c>
      <c r="M23" s="31"/>
      <c r="BI23" s="37">
        <v>10</v>
      </c>
      <c r="BJ23" s="38" t="s">
        <v>116</v>
      </c>
      <c r="BK23" s="38" t="s">
        <v>260</v>
      </c>
      <c r="BL23" s="38" t="s">
        <v>261</v>
      </c>
      <c r="BQ23" s="37">
        <v>10</v>
      </c>
      <c r="BR23" s="38">
        <v>2023</v>
      </c>
      <c r="BS23" s="38" t="s">
        <v>278</v>
      </c>
    </row>
    <row r="24" spans="1:71">
      <c r="A24" s="32" t="s">
        <v>211</v>
      </c>
      <c r="B24" s="26" t="s">
        <v>98</v>
      </c>
      <c r="C24" s="33">
        <v>6885</v>
      </c>
      <c r="D24" s="33">
        <v>7645</v>
      </c>
      <c r="E24" s="33">
        <v>8464</v>
      </c>
      <c r="F24" s="33">
        <v>8808</v>
      </c>
      <c r="G24" s="33">
        <v>8305</v>
      </c>
      <c r="H24" s="33">
        <v>9914</v>
      </c>
      <c r="I24" s="33">
        <v>10276</v>
      </c>
      <c r="J24" s="33">
        <v>11505</v>
      </c>
      <c r="K24" s="33">
        <v>11850</v>
      </c>
      <c r="L24" s="33">
        <v>13228</v>
      </c>
      <c r="M24" s="31"/>
      <c r="BI24" s="37">
        <v>11</v>
      </c>
      <c r="BJ24" s="38" t="s">
        <v>190</v>
      </c>
      <c r="BK24" s="38" t="s">
        <v>262</v>
      </c>
      <c r="BL24" s="38" t="s">
        <v>263</v>
      </c>
      <c r="BQ24" s="37">
        <v>11</v>
      </c>
      <c r="BR24" s="38">
        <v>2024</v>
      </c>
      <c r="BS24" s="38" t="s">
        <v>279</v>
      </c>
    </row>
    <row r="25" spans="1:71" ht="15.5" customHeight="1" thickBot="1">
      <c r="BI25" s="37">
        <v>12</v>
      </c>
      <c r="BJ25" s="38" t="s">
        <v>191</v>
      </c>
      <c r="BK25" s="38" t="s">
        <v>264</v>
      </c>
      <c r="BL25" s="38" t="s">
        <v>263</v>
      </c>
      <c r="BQ25" s="37">
        <v>12</v>
      </c>
      <c r="BR25" s="38">
        <v>2025</v>
      </c>
      <c r="BS25" s="38" t="s">
        <v>280</v>
      </c>
    </row>
    <row r="26" spans="1:71" ht="16.5" thickBot="1">
      <c r="O26" s="8" t="s">
        <v>187</v>
      </c>
      <c r="P26" s="1" t="s">
        <v>97</v>
      </c>
      <c r="Q26" s="1" t="s">
        <v>106</v>
      </c>
      <c r="R26" s="1" t="s">
        <v>107</v>
      </c>
      <c r="S26" s="1" t="s">
        <v>108</v>
      </c>
      <c r="T26" s="1" t="s">
        <v>109</v>
      </c>
      <c r="U26" s="1" t="s">
        <v>110</v>
      </c>
      <c r="V26" s="1" t="s">
        <v>111</v>
      </c>
      <c r="W26" s="1" t="s">
        <v>112</v>
      </c>
      <c r="X26" s="1" t="s">
        <v>113</v>
      </c>
      <c r="Y26" s="1" t="s">
        <v>114</v>
      </c>
      <c r="Z26" s="1" t="s">
        <v>115</v>
      </c>
      <c r="BI26" s="37">
        <v>13</v>
      </c>
      <c r="BJ26" s="38" t="s">
        <v>192</v>
      </c>
      <c r="BK26" s="38" t="s">
        <v>265</v>
      </c>
      <c r="BL26" s="38" t="s">
        <v>263</v>
      </c>
      <c r="BQ26" s="37">
        <v>13</v>
      </c>
      <c r="BR26" s="38">
        <v>2026</v>
      </c>
      <c r="BS26" s="38" t="s">
        <v>281</v>
      </c>
    </row>
    <row r="27" spans="1:71" ht="15" thickBot="1">
      <c r="O27" s="1" t="s">
        <v>189</v>
      </c>
      <c r="P27" s="2" t="s">
        <v>99</v>
      </c>
      <c r="Q27" s="2">
        <v>78.900000000000006</v>
      </c>
      <c r="R27" s="2">
        <v>87.8</v>
      </c>
      <c r="S27" s="2">
        <v>91</v>
      </c>
      <c r="T27" s="2">
        <v>91.1</v>
      </c>
      <c r="U27" s="2">
        <v>91.3</v>
      </c>
      <c r="V27" s="2">
        <v>91.5</v>
      </c>
      <c r="W27" s="2">
        <v>92.1</v>
      </c>
      <c r="X27" s="2">
        <v>92.6</v>
      </c>
      <c r="Y27" s="2">
        <v>95.4</v>
      </c>
      <c r="Z27" s="2">
        <v>96.46</v>
      </c>
      <c r="BI27" s="37">
        <v>14</v>
      </c>
      <c r="BJ27" s="38" t="s">
        <v>193</v>
      </c>
      <c r="BK27" s="38" t="s">
        <v>266</v>
      </c>
      <c r="BL27" s="38" t="s">
        <v>263</v>
      </c>
      <c r="BQ27" s="37">
        <v>14</v>
      </c>
      <c r="BR27" s="38">
        <v>2027</v>
      </c>
      <c r="BS27" s="38" t="s">
        <v>282</v>
      </c>
    </row>
    <row r="28" spans="1:71">
      <c r="BI28" s="37">
        <v>15</v>
      </c>
      <c r="BJ28" s="38" t="s">
        <v>194</v>
      </c>
      <c r="BK28" s="38" t="s">
        <v>267</v>
      </c>
      <c r="BL28" s="38" t="s">
        <v>263</v>
      </c>
      <c r="BQ28" s="37">
        <v>15</v>
      </c>
      <c r="BR28" s="38">
        <v>2028</v>
      </c>
      <c r="BS28" s="38" t="s">
        <v>283</v>
      </c>
    </row>
    <row r="29" spans="1:71">
      <c r="BQ29" s="37">
        <v>16</v>
      </c>
      <c r="BR29" s="38">
        <v>2029</v>
      </c>
      <c r="BS29" s="38" t="s">
        <v>284</v>
      </c>
    </row>
    <row r="30" spans="1:71">
      <c r="BQ30" s="37">
        <v>17</v>
      </c>
      <c r="BR30" s="38">
        <v>2030</v>
      </c>
      <c r="BS30" s="38" t="s">
        <v>285</v>
      </c>
    </row>
    <row r="45" spans="15:25">
      <c r="O45" s="11" t="s">
        <v>187</v>
      </c>
      <c r="P45" s="11" t="s">
        <v>106</v>
      </c>
      <c r="Q45" s="11" t="s">
        <v>107</v>
      </c>
      <c r="R45" s="11" t="s">
        <v>108</v>
      </c>
      <c r="S45" s="11" t="s">
        <v>109</v>
      </c>
      <c r="T45" s="11" t="s">
        <v>110</v>
      </c>
      <c r="U45" s="11" t="s">
        <v>111</v>
      </c>
      <c r="V45" s="11" t="s">
        <v>112</v>
      </c>
      <c r="W45" s="11" t="s">
        <v>113</v>
      </c>
      <c r="X45" s="11" t="s">
        <v>114</v>
      </c>
      <c r="Y45" s="11" t="s">
        <v>115</v>
      </c>
    </row>
    <row r="46" spans="15:25">
      <c r="O46" s="11" t="s">
        <v>293</v>
      </c>
      <c r="P46" s="16">
        <f t="shared" ref="P46:Y46" si="0">(C13/(C13+C12))*100</f>
        <v>27.757469902064752</v>
      </c>
      <c r="Q46" s="16">
        <f t="shared" si="0"/>
        <v>28.024063260054753</v>
      </c>
      <c r="R46" s="16">
        <f t="shared" si="0"/>
        <v>29.783901933390418</v>
      </c>
      <c r="S46" s="16">
        <f t="shared" si="0"/>
        <v>30.864171054183597</v>
      </c>
      <c r="T46" s="16">
        <f t="shared" si="0"/>
        <v>32.09358377659575</v>
      </c>
      <c r="U46" s="16">
        <f t="shared" si="0"/>
        <v>34.470989761092156</v>
      </c>
      <c r="V46" s="16">
        <f t="shared" si="0"/>
        <v>34.995960623560038</v>
      </c>
      <c r="W46" s="16">
        <f t="shared" si="0"/>
        <v>36.017507622700897</v>
      </c>
      <c r="X46" s="16">
        <f t="shared" si="0"/>
        <v>37.048586756649165</v>
      </c>
      <c r="Y46" s="16">
        <f t="shared" si="0"/>
        <v>37.927368844452111</v>
      </c>
    </row>
    <row r="57" spans="15:26" ht="15" thickBot="1"/>
    <row r="58" spans="15:26" ht="18" customHeight="1" thickBot="1">
      <c r="O58" s="24" t="s">
        <v>200</v>
      </c>
      <c r="P58" s="6" t="s">
        <v>97</v>
      </c>
      <c r="Q58" s="1" t="s">
        <v>106</v>
      </c>
      <c r="R58" s="1" t="s">
        <v>107</v>
      </c>
      <c r="S58" s="1" t="s">
        <v>108</v>
      </c>
      <c r="T58" s="1" t="s">
        <v>109</v>
      </c>
      <c r="U58" s="1" t="s">
        <v>110</v>
      </c>
      <c r="V58" s="1" t="s">
        <v>112</v>
      </c>
      <c r="W58" s="1" t="s">
        <v>113</v>
      </c>
      <c r="X58" s="1" t="s">
        <v>114</v>
      </c>
      <c r="Y58" s="1" t="s">
        <v>115</v>
      </c>
      <c r="Z58" s="1" t="s">
        <v>116</v>
      </c>
    </row>
    <row r="59" spans="15:26" ht="15" thickBot="1">
      <c r="O59" s="7" t="s">
        <v>199</v>
      </c>
      <c r="P59" s="2" t="s">
        <v>99</v>
      </c>
      <c r="Q59" s="2">
        <v>82.12</v>
      </c>
      <c r="R59" s="2">
        <v>83.33</v>
      </c>
      <c r="S59" s="2">
        <v>80.98</v>
      </c>
      <c r="T59" s="2">
        <v>83.57</v>
      </c>
      <c r="U59" s="2">
        <v>84.51</v>
      </c>
      <c r="V59" s="2">
        <v>52.44</v>
      </c>
      <c r="W59" s="2">
        <v>64.760000000000005</v>
      </c>
      <c r="X59" s="2">
        <v>71.28</v>
      </c>
      <c r="Y59" s="2">
        <v>83.46</v>
      </c>
      <c r="Z59" s="2">
        <v>86.58</v>
      </c>
    </row>
    <row r="86" spans="15:25" ht="15" thickBot="1"/>
    <row r="87" spans="15:25" ht="15" thickBot="1">
      <c r="O87" s="24" t="s">
        <v>200</v>
      </c>
      <c r="P87" s="1" t="s">
        <v>106</v>
      </c>
      <c r="Q87" s="1" t="s">
        <v>107</v>
      </c>
      <c r="R87" s="1" t="s">
        <v>108</v>
      </c>
      <c r="S87" s="1" t="s">
        <v>109</v>
      </c>
      <c r="T87" s="1" t="s">
        <v>110</v>
      </c>
      <c r="U87" s="1" t="s">
        <v>208</v>
      </c>
      <c r="V87" s="1" t="s">
        <v>112</v>
      </c>
      <c r="W87" s="1" t="s">
        <v>113</v>
      </c>
      <c r="X87" s="1" t="s">
        <v>114</v>
      </c>
      <c r="Y87" s="1" t="s">
        <v>115</v>
      </c>
    </row>
    <row r="88" spans="15:25" ht="15" thickBot="1">
      <c r="O88" s="1" t="s">
        <v>206</v>
      </c>
      <c r="P88" s="2">
        <v>41.8</v>
      </c>
      <c r="Q88" s="2">
        <v>45.1</v>
      </c>
      <c r="R88" s="2">
        <v>49.1</v>
      </c>
      <c r="S88" s="2">
        <v>52.8</v>
      </c>
      <c r="T88" s="2">
        <v>55.5</v>
      </c>
      <c r="U88" s="2">
        <v>58.6</v>
      </c>
      <c r="V88" s="2">
        <v>60.8</v>
      </c>
      <c r="W88" s="2">
        <v>62</v>
      </c>
      <c r="X88" s="2">
        <v>73</v>
      </c>
      <c r="Y88" s="2">
        <v>96.5</v>
      </c>
    </row>
    <row r="115" spans="15:25">
      <c r="O115" s="11" t="s">
        <v>200</v>
      </c>
      <c r="P115" s="11" t="s">
        <v>106</v>
      </c>
      <c r="Q115" s="11" t="s">
        <v>107</v>
      </c>
      <c r="R115" s="11" t="s">
        <v>108</v>
      </c>
      <c r="S115" s="11" t="s">
        <v>109</v>
      </c>
      <c r="T115" s="11" t="s">
        <v>110</v>
      </c>
      <c r="U115" s="11" t="s">
        <v>208</v>
      </c>
      <c r="V115" s="11" t="s">
        <v>112</v>
      </c>
      <c r="W115" s="11" t="s">
        <v>113</v>
      </c>
      <c r="X115" s="11" t="s">
        <v>114</v>
      </c>
      <c r="Y115" s="11" t="s">
        <v>115</v>
      </c>
    </row>
    <row r="116" spans="15:25">
      <c r="O116" s="11" t="s">
        <v>207</v>
      </c>
      <c r="P116" s="19">
        <v>16.2</v>
      </c>
      <c r="Q116" s="19">
        <v>18.7</v>
      </c>
      <c r="R116" s="19">
        <v>23.3</v>
      </c>
      <c r="S116" s="19">
        <v>25.8</v>
      </c>
      <c r="T116" s="19">
        <v>26.6</v>
      </c>
      <c r="U116" s="19">
        <v>33.5</v>
      </c>
      <c r="V116" s="19">
        <v>32.200000000000003</v>
      </c>
      <c r="W116" s="19">
        <v>40.799999999999997</v>
      </c>
      <c r="X116" s="19">
        <v>38.1</v>
      </c>
      <c r="Y116" s="19">
        <v>46.2</v>
      </c>
    </row>
    <row r="142" spans="15:25">
      <c r="O142" s="11" t="s">
        <v>200</v>
      </c>
      <c r="P142" s="11" t="s">
        <v>106</v>
      </c>
      <c r="Q142" s="11" t="s">
        <v>107</v>
      </c>
      <c r="R142" s="11" t="s">
        <v>108</v>
      </c>
      <c r="S142" s="11" t="s">
        <v>109</v>
      </c>
      <c r="T142" s="11" t="s">
        <v>110</v>
      </c>
      <c r="U142" s="11" t="s">
        <v>208</v>
      </c>
      <c r="V142" s="11" t="s">
        <v>112</v>
      </c>
      <c r="W142" s="11" t="s">
        <v>113</v>
      </c>
      <c r="X142" s="11" t="s">
        <v>114</v>
      </c>
      <c r="Y142" s="11" t="s">
        <v>115</v>
      </c>
    </row>
    <row r="143" spans="15:25">
      <c r="O143" s="31" t="s">
        <v>209</v>
      </c>
      <c r="P143" s="17">
        <f t="shared" ref="P143:Y143" si="1">C18/C17</f>
        <v>0.68882263539938404</v>
      </c>
      <c r="Q143" s="17">
        <f t="shared" si="1"/>
        <v>0.70772293991233293</v>
      </c>
      <c r="R143" s="17">
        <f t="shared" si="1"/>
        <v>0.73308479830637541</v>
      </c>
      <c r="S143" s="17">
        <f t="shared" si="1"/>
        <v>0.76022087820589068</v>
      </c>
      <c r="T143" s="17">
        <f t="shared" si="1"/>
        <v>0.78551100071572755</v>
      </c>
      <c r="U143" s="17">
        <f t="shared" si="1"/>
        <v>0.82005039961300297</v>
      </c>
      <c r="V143" s="17">
        <f t="shared" si="1"/>
        <v>0.85403867581604631</v>
      </c>
      <c r="W143" s="17">
        <f t="shared" si="1"/>
        <v>0.88144891573639683</v>
      </c>
      <c r="X143" s="17">
        <f t="shared" si="1"/>
        <v>0.91916558944834048</v>
      </c>
      <c r="Y143" s="17">
        <f t="shared" si="1"/>
        <v>0.93339848727916752</v>
      </c>
    </row>
    <row r="165" spans="15:25">
      <c r="O165" s="11" t="s">
        <v>200</v>
      </c>
      <c r="P165" s="11" t="s">
        <v>106</v>
      </c>
      <c r="Q165" s="11" t="s">
        <v>107</v>
      </c>
      <c r="R165" s="11" t="s">
        <v>108</v>
      </c>
      <c r="S165" s="11" t="s">
        <v>109</v>
      </c>
      <c r="T165" s="11" t="s">
        <v>110</v>
      </c>
      <c r="U165" s="11" t="s">
        <v>208</v>
      </c>
      <c r="V165" s="11" t="s">
        <v>112</v>
      </c>
      <c r="W165" s="11" t="s">
        <v>113</v>
      </c>
      <c r="X165" s="11" t="s">
        <v>114</v>
      </c>
      <c r="Y165" s="11" t="s">
        <v>115</v>
      </c>
    </row>
    <row r="166" spans="15:25">
      <c r="O166" s="31" t="s">
        <v>294</v>
      </c>
      <c r="P166" s="17">
        <f t="shared" ref="P166:Y166" si="2">(C24/(C23+C24))*100</f>
        <v>13.449367088607595</v>
      </c>
      <c r="Q166" s="17">
        <f t="shared" si="2"/>
        <v>14.279843846311897</v>
      </c>
      <c r="R166" s="17">
        <f t="shared" si="2"/>
        <v>14.378418781639656</v>
      </c>
      <c r="S166" s="17">
        <f t="shared" si="2"/>
        <v>14.839274883752275</v>
      </c>
      <c r="T166" s="17">
        <f t="shared" si="2"/>
        <v>13.539730672666211</v>
      </c>
      <c r="U166" s="17">
        <f t="shared" si="2"/>
        <v>13.914971858464217</v>
      </c>
      <c r="V166" s="17">
        <f t="shared" si="2"/>
        <v>14.427113313771464</v>
      </c>
      <c r="W166" s="17">
        <f t="shared" si="2"/>
        <v>14.492297227505762</v>
      </c>
      <c r="X166" s="17">
        <f t="shared" si="2"/>
        <v>14.852415867644295</v>
      </c>
      <c r="Y166" s="17">
        <f t="shared" si="2"/>
        <v>15.485290846727462</v>
      </c>
    </row>
    <row r="190" spans="15:26">
      <c r="O190" s="14" t="s">
        <v>187</v>
      </c>
      <c r="P190" s="23">
        <v>2013</v>
      </c>
      <c r="Q190" s="14">
        <v>2014</v>
      </c>
      <c r="R190" s="14">
        <v>2015</v>
      </c>
      <c r="S190" s="14">
        <v>2016</v>
      </c>
      <c r="T190" s="14">
        <v>2017</v>
      </c>
      <c r="U190" s="14">
        <v>2018</v>
      </c>
      <c r="V190" s="14">
        <v>2019</v>
      </c>
      <c r="W190" s="14">
        <v>2020</v>
      </c>
      <c r="X190" s="14">
        <v>2021</v>
      </c>
      <c r="Y190" s="14">
        <v>2022</v>
      </c>
      <c r="Z190" s="14">
        <v>2023</v>
      </c>
    </row>
    <row r="191" spans="15:26">
      <c r="O191" s="14" t="s">
        <v>198</v>
      </c>
      <c r="P191" s="19">
        <v>82.8</v>
      </c>
      <c r="Q191" s="22">
        <v>84.9</v>
      </c>
      <c r="R191" s="19">
        <v>100</v>
      </c>
      <c r="S191" s="19">
        <v>100</v>
      </c>
      <c r="T191" s="19">
        <v>100</v>
      </c>
      <c r="U191" s="19">
        <v>100</v>
      </c>
      <c r="V191" s="19">
        <v>100</v>
      </c>
      <c r="W191" s="19">
        <v>100</v>
      </c>
      <c r="X191" s="19">
        <v>100</v>
      </c>
      <c r="Y191" s="19">
        <v>100</v>
      </c>
      <c r="Z191" s="19">
        <v>100</v>
      </c>
    </row>
    <row r="203" spans="15:26">
      <c r="O203" s="19" t="s">
        <v>187</v>
      </c>
      <c r="P203" s="20">
        <v>2013</v>
      </c>
      <c r="Q203" s="11">
        <v>2014</v>
      </c>
      <c r="R203" s="11">
        <v>2015</v>
      </c>
      <c r="S203" s="11">
        <v>2016</v>
      </c>
      <c r="T203" s="11">
        <v>2017</v>
      </c>
      <c r="U203" s="11">
        <v>2018</v>
      </c>
      <c r="V203" s="11">
        <v>2019</v>
      </c>
      <c r="W203" s="21">
        <v>2020</v>
      </c>
      <c r="X203" s="11">
        <v>2021</v>
      </c>
      <c r="Y203" s="11">
        <v>2022</v>
      </c>
      <c r="Z203" s="11">
        <v>2023</v>
      </c>
    </row>
    <row r="204" spans="15:26">
      <c r="O204" s="40" t="s">
        <v>231</v>
      </c>
      <c r="P204" s="22">
        <v>21.6</v>
      </c>
      <c r="Q204" s="19">
        <v>21.8</v>
      </c>
      <c r="R204" s="19">
        <v>21.2</v>
      </c>
      <c r="S204" s="19">
        <v>22.4</v>
      </c>
      <c r="T204" s="19">
        <v>20.6</v>
      </c>
      <c r="U204" s="19">
        <v>18.3</v>
      </c>
      <c r="V204" s="19">
        <v>19.8</v>
      </c>
      <c r="W204" s="19">
        <v>18.600000000000001</v>
      </c>
      <c r="X204" s="41">
        <v>16.3</v>
      </c>
      <c r="Y204" s="19">
        <v>15.9</v>
      </c>
      <c r="Z204" s="19">
        <v>15.9</v>
      </c>
    </row>
    <row r="214" spans="15:25" ht="16">
      <c r="O214" s="13" t="s">
        <v>187</v>
      </c>
      <c r="P214" s="14" t="s">
        <v>106</v>
      </c>
      <c r="Q214" s="14" t="s">
        <v>107</v>
      </c>
      <c r="R214" s="14" t="s">
        <v>108</v>
      </c>
      <c r="S214" s="14" t="s">
        <v>109</v>
      </c>
      <c r="T214" s="14" t="s">
        <v>110</v>
      </c>
      <c r="U214" s="14" t="s">
        <v>111</v>
      </c>
      <c r="V214" s="14" t="s">
        <v>112</v>
      </c>
      <c r="W214" s="14" t="s">
        <v>113</v>
      </c>
      <c r="X214" s="14" t="s">
        <v>114</v>
      </c>
      <c r="Y214" s="14" t="s">
        <v>115</v>
      </c>
    </row>
    <row r="215" spans="15:25">
      <c r="O215" s="15" t="s">
        <v>287</v>
      </c>
      <c r="P215" s="16">
        <f t="shared" ref="P215:Y215" si="3">C11/C10</f>
        <v>0.87659087125655655</v>
      </c>
      <c r="Q215" s="16">
        <f t="shared" si="3"/>
        <v>0.89165010200276851</v>
      </c>
      <c r="R215" s="16">
        <f t="shared" si="3"/>
        <v>0.90603370303933706</v>
      </c>
      <c r="S215" s="16">
        <f t="shared" si="3"/>
        <v>0.91955740478798953</v>
      </c>
      <c r="T215" s="16">
        <f t="shared" si="3"/>
        <v>0.93276356026906937</v>
      </c>
      <c r="U215" s="16">
        <f t="shared" si="3"/>
        <v>0.93525936173806856</v>
      </c>
      <c r="V215" s="16">
        <f t="shared" si="3"/>
        <v>0.9442208023913562</v>
      </c>
      <c r="W215" s="16">
        <f t="shared" si="3"/>
        <v>0.94738782321348758</v>
      </c>
      <c r="X215" s="16">
        <f t="shared" si="3"/>
        <v>0.94770413901166373</v>
      </c>
      <c r="Y215" s="16">
        <f t="shared" si="3"/>
        <v>1.0034761801192771</v>
      </c>
    </row>
    <row r="218" spans="15:25" ht="16">
      <c r="O218" s="13" t="s">
        <v>187</v>
      </c>
      <c r="P218" s="14" t="s">
        <v>106</v>
      </c>
      <c r="Q218" s="14" t="s">
        <v>107</v>
      </c>
      <c r="R218" s="14" t="s">
        <v>108</v>
      </c>
      <c r="S218" s="14" t="s">
        <v>109</v>
      </c>
      <c r="T218" s="14" t="s">
        <v>110</v>
      </c>
      <c r="U218" s="14" t="s">
        <v>111</v>
      </c>
      <c r="V218" s="14" t="s">
        <v>112</v>
      </c>
      <c r="W218" s="14" t="s">
        <v>113</v>
      </c>
      <c r="X218" s="14" t="s">
        <v>114</v>
      </c>
      <c r="Y218" s="14" t="s">
        <v>115</v>
      </c>
    </row>
    <row r="219" spans="15:25">
      <c r="O219" s="14" t="s">
        <v>288</v>
      </c>
      <c r="P219" s="18">
        <v>78.900000000000006</v>
      </c>
      <c r="Q219" s="18">
        <v>87.8</v>
      </c>
      <c r="R219" s="19">
        <v>91</v>
      </c>
      <c r="S219" s="19">
        <v>91.1</v>
      </c>
      <c r="T219" s="19">
        <v>91.3</v>
      </c>
      <c r="U219" s="19">
        <v>91.5</v>
      </c>
      <c r="V219" s="19">
        <v>92.1</v>
      </c>
      <c r="W219" s="19">
        <v>92.6</v>
      </c>
      <c r="X219" s="19">
        <v>95.4</v>
      </c>
      <c r="Y219" s="19">
        <v>96.46</v>
      </c>
    </row>
    <row r="222" spans="15:25" ht="16">
      <c r="O222" s="13" t="s">
        <v>187</v>
      </c>
      <c r="P222" s="14" t="s">
        <v>106</v>
      </c>
      <c r="Q222" s="14" t="s">
        <v>107</v>
      </c>
      <c r="R222" s="14" t="s">
        <v>108</v>
      </c>
      <c r="S222" s="14" t="s">
        <v>109</v>
      </c>
      <c r="T222" s="14" t="s">
        <v>110</v>
      </c>
      <c r="U222" s="14" t="s">
        <v>111</v>
      </c>
      <c r="V222" s="14" t="s">
        <v>112</v>
      </c>
      <c r="W222" s="14" t="s">
        <v>113</v>
      </c>
      <c r="X222" s="14" t="s">
        <v>114</v>
      </c>
      <c r="Y222" s="14" t="s">
        <v>115</v>
      </c>
    </row>
    <row r="223" spans="15:25">
      <c r="O223" s="14" t="s">
        <v>296</v>
      </c>
      <c r="P223" s="19">
        <v>63.9</v>
      </c>
      <c r="Q223" s="19">
        <v>68.7</v>
      </c>
      <c r="R223" s="19">
        <v>76.7</v>
      </c>
      <c r="S223" s="19">
        <v>77.7</v>
      </c>
      <c r="T223" s="19">
        <v>80.5</v>
      </c>
      <c r="U223" s="19">
        <v>82.1</v>
      </c>
      <c r="V223" s="19">
        <v>83.7</v>
      </c>
      <c r="W223" s="19">
        <v>78</v>
      </c>
      <c r="X223" s="19">
        <v>82.8</v>
      </c>
      <c r="Y223" s="19">
        <v>85.2</v>
      </c>
    </row>
  </sheetData>
  <mergeCells count="2">
    <mergeCell ref="A1:M3"/>
    <mergeCell ref="O1:AG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B704-F0F6-45C4-A5BD-2A24A90CA259}">
  <sheetPr codeName="Feuil2"/>
  <dimension ref="A1:AD167"/>
  <sheetViews>
    <sheetView topLeftCell="M1" zoomScale="62" workbookViewId="0">
      <selection activeCell="P20" sqref="P20"/>
    </sheetView>
  </sheetViews>
  <sheetFormatPr baseColWidth="10" defaultRowHeight="14.5"/>
  <cols>
    <col min="1" max="1" width="44.26953125" customWidth="1"/>
    <col min="2" max="2" width="39.6328125" customWidth="1"/>
    <col min="14" max="14" width="10.90625" style="52"/>
    <col min="15" max="15" width="46.26953125" customWidth="1"/>
    <col min="16" max="16" width="49" customWidth="1"/>
    <col min="17" max="17" width="12.90625" customWidth="1"/>
    <col min="18" max="18" width="12.7265625" customWidth="1"/>
    <col min="19" max="19" width="13.54296875" customWidth="1"/>
    <col min="20" max="20" width="13.36328125" customWidth="1"/>
    <col min="21" max="21" width="12.81640625" customWidth="1"/>
    <col min="22" max="22" width="12.54296875" customWidth="1"/>
    <col min="23" max="24" width="13.54296875" customWidth="1"/>
    <col min="25" max="25" width="13" customWidth="1"/>
    <col min="26" max="26" width="10.81640625" customWidth="1"/>
    <col min="27" max="27" width="13.36328125" customWidth="1"/>
    <col min="30" max="30" width="10.90625" style="52"/>
    <col min="34" max="34" width="20.453125" customWidth="1"/>
    <col min="35" max="35" width="21" customWidth="1"/>
  </cols>
  <sheetData>
    <row r="1" spans="1:29" ht="14.5" customHeight="1">
      <c r="A1" s="64" t="s">
        <v>297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  <c r="O1" s="64" t="s">
        <v>298</v>
      </c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4"/>
    </row>
    <row r="2" spans="1:29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  <c r="O2" s="75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7"/>
    </row>
    <row r="3" spans="1:29" ht="15" thickBot="1">
      <c r="A3" s="8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  <c r="O3" s="78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80"/>
    </row>
    <row r="4" spans="1:29" ht="15" thickBot="1">
      <c r="A4" s="7" t="s">
        <v>28</v>
      </c>
      <c r="B4" s="50" t="s">
        <v>49</v>
      </c>
      <c r="C4" s="51">
        <v>2013</v>
      </c>
      <c r="D4" s="7">
        <v>2014</v>
      </c>
      <c r="E4" s="7">
        <v>2015</v>
      </c>
      <c r="F4" s="7">
        <v>2016</v>
      </c>
      <c r="G4" s="7">
        <v>2017</v>
      </c>
      <c r="H4" s="7">
        <v>2018</v>
      </c>
      <c r="I4" s="7">
        <v>2019</v>
      </c>
      <c r="J4" s="50">
        <v>2020</v>
      </c>
      <c r="K4" s="7">
        <v>2021</v>
      </c>
      <c r="L4" s="7">
        <v>2022</v>
      </c>
      <c r="M4" s="7">
        <v>2023</v>
      </c>
    </row>
    <row r="5" spans="1:29" ht="15" thickBot="1">
      <c r="A5" s="1" t="s">
        <v>50</v>
      </c>
      <c r="B5" s="39" t="s">
        <v>231</v>
      </c>
      <c r="C5" s="3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5" t="s">
        <v>8</v>
      </c>
      <c r="L5" s="2" t="s">
        <v>9</v>
      </c>
      <c r="M5" s="2" t="s">
        <v>9</v>
      </c>
    </row>
    <row r="6" spans="1:29" ht="15" thickBot="1">
      <c r="A6" s="1" t="s">
        <v>50</v>
      </c>
      <c r="B6" s="5" t="s">
        <v>232</v>
      </c>
      <c r="C6" s="3" t="s">
        <v>29</v>
      </c>
      <c r="D6" s="2" t="s">
        <v>30</v>
      </c>
      <c r="E6" s="2" t="s">
        <v>29</v>
      </c>
      <c r="F6" s="2" t="s">
        <v>13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30</v>
      </c>
      <c r="L6" s="2" t="s">
        <v>29</v>
      </c>
      <c r="M6" s="2" t="s">
        <v>33</v>
      </c>
    </row>
    <row r="7" spans="1:29" ht="15" thickBot="1">
      <c r="A7" s="1" t="s">
        <v>51</v>
      </c>
      <c r="B7" s="5" t="s">
        <v>233</v>
      </c>
      <c r="C7" s="3" t="s">
        <v>52</v>
      </c>
      <c r="D7" s="2" t="s">
        <v>37</v>
      </c>
      <c r="E7" s="2" t="s">
        <v>37</v>
      </c>
      <c r="F7" s="2" t="s">
        <v>37</v>
      </c>
      <c r="G7" s="2" t="s">
        <v>37</v>
      </c>
      <c r="H7" s="2" t="s">
        <v>37</v>
      </c>
      <c r="I7" s="2" t="s">
        <v>53</v>
      </c>
      <c r="J7" s="2" t="s">
        <v>37</v>
      </c>
      <c r="K7" s="2" t="s">
        <v>37</v>
      </c>
      <c r="L7" s="2" t="s">
        <v>37</v>
      </c>
      <c r="M7" s="2" t="s">
        <v>37</v>
      </c>
      <c r="O7" s="28" t="s">
        <v>187</v>
      </c>
      <c r="P7" s="28">
        <v>2025</v>
      </c>
      <c r="Q7" s="28">
        <v>2026</v>
      </c>
      <c r="R7" s="28">
        <v>2027</v>
      </c>
      <c r="S7" s="28">
        <v>2028</v>
      </c>
      <c r="T7" s="28">
        <v>2029</v>
      </c>
      <c r="U7" s="28">
        <v>2030</v>
      </c>
    </row>
    <row r="8" spans="1:29" ht="15" thickBot="1">
      <c r="A8" s="1" t="s">
        <v>51</v>
      </c>
      <c r="B8" s="5" t="s">
        <v>234</v>
      </c>
      <c r="C8" s="2" t="s">
        <v>37</v>
      </c>
      <c r="D8" s="2" t="s">
        <v>37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37</v>
      </c>
      <c r="L8" s="3" t="s">
        <v>54</v>
      </c>
      <c r="M8" s="2" t="s">
        <v>37</v>
      </c>
      <c r="O8" s="26" t="s">
        <v>198</v>
      </c>
      <c r="P8" s="26">
        <v>100</v>
      </c>
      <c r="Q8" s="26">
        <v>100</v>
      </c>
      <c r="R8" s="26">
        <v>100</v>
      </c>
      <c r="S8" s="26">
        <v>100</v>
      </c>
      <c r="T8" s="26">
        <v>100</v>
      </c>
      <c r="U8" s="26">
        <v>100</v>
      </c>
    </row>
    <row r="9" spans="1:29" ht="15" thickBot="1">
      <c r="A9" s="1" t="s">
        <v>51</v>
      </c>
      <c r="B9" s="5" t="s">
        <v>235</v>
      </c>
      <c r="C9" s="3" t="s">
        <v>37</v>
      </c>
      <c r="D9" s="2" t="s">
        <v>3</v>
      </c>
      <c r="E9" s="2" t="s">
        <v>37</v>
      </c>
      <c r="F9" s="2" t="s">
        <v>37</v>
      </c>
      <c r="G9" s="2" t="s">
        <v>37</v>
      </c>
      <c r="H9" s="2" t="s">
        <v>37</v>
      </c>
      <c r="I9" s="2" t="s">
        <v>10</v>
      </c>
      <c r="J9" s="2" t="s">
        <v>37</v>
      </c>
      <c r="K9" s="2" t="s">
        <v>37</v>
      </c>
      <c r="L9" s="2" t="s">
        <v>37</v>
      </c>
      <c r="M9" s="2" t="s">
        <v>37</v>
      </c>
    </row>
    <row r="10" spans="1:29" ht="15" thickBot="1">
      <c r="A10" s="1" t="s">
        <v>55</v>
      </c>
      <c r="B10" s="5" t="s">
        <v>236</v>
      </c>
      <c r="C10" s="2" t="s">
        <v>37</v>
      </c>
      <c r="D10" s="2" t="s">
        <v>37</v>
      </c>
      <c r="E10" s="2" t="s">
        <v>37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3" t="s">
        <v>56</v>
      </c>
      <c r="L10" s="2" t="s">
        <v>37</v>
      </c>
      <c r="M10" s="2" t="s">
        <v>37</v>
      </c>
    </row>
    <row r="11" spans="1:29" ht="15" thickBot="1">
      <c r="A11" s="1" t="s">
        <v>55</v>
      </c>
      <c r="B11" s="5" t="s">
        <v>237</v>
      </c>
      <c r="C11" s="3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63</v>
      </c>
      <c r="J11" s="2" t="s">
        <v>64</v>
      </c>
      <c r="K11" s="2" t="s">
        <v>4</v>
      </c>
      <c r="L11" s="2" t="s">
        <v>65</v>
      </c>
      <c r="M11" s="2" t="s">
        <v>66</v>
      </c>
    </row>
    <row r="12" spans="1:29" ht="15" thickBot="1">
      <c r="A12" s="1" t="s">
        <v>55</v>
      </c>
      <c r="B12" s="5" t="s">
        <v>238</v>
      </c>
      <c r="C12" s="3" t="s">
        <v>37</v>
      </c>
      <c r="D12" s="2" t="s">
        <v>37</v>
      </c>
      <c r="E12" s="2" t="s">
        <v>37</v>
      </c>
      <c r="F12" s="3" t="s">
        <v>45</v>
      </c>
      <c r="G12" s="2" t="s">
        <v>37</v>
      </c>
      <c r="H12" s="2" t="s">
        <v>37</v>
      </c>
      <c r="I12" s="2" t="s">
        <v>67</v>
      </c>
      <c r="J12" s="2" t="s">
        <v>37</v>
      </c>
      <c r="K12" s="2" t="s">
        <v>37</v>
      </c>
      <c r="L12" s="2" t="s">
        <v>68</v>
      </c>
      <c r="M12" s="2" t="s">
        <v>37</v>
      </c>
    </row>
    <row r="13" spans="1:29" ht="15" thickBot="1">
      <c r="A13" s="1" t="s">
        <v>69</v>
      </c>
      <c r="B13" s="5" t="s">
        <v>239</v>
      </c>
      <c r="C13" s="3" t="s">
        <v>32</v>
      </c>
      <c r="D13" s="2" t="s">
        <v>37</v>
      </c>
      <c r="E13" s="2" t="s">
        <v>37</v>
      </c>
      <c r="F13" s="2" t="s">
        <v>70</v>
      </c>
      <c r="G13" s="2" t="s">
        <v>71</v>
      </c>
      <c r="H13" s="2" t="s">
        <v>37</v>
      </c>
      <c r="I13" s="2" t="s">
        <v>72</v>
      </c>
      <c r="J13" s="2" t="s">
        <v>37</v>
      </c>
      <c r="K13" s="2" t="s">
        <v>37</v>
      </c>
      <c r="L13" s="2" t="s">
        <v>71</v>
      </c>
      <c r="M13" s="2" t="s">
        <v>37</v>
      </c>
    </row>
    <row r="14" spans="1:29" ht="15" thickBot="1">
      <c r="A14" s="1" t="s">
        <v>73</v>
      </c>
      <c r="B14" s="5" t="s">
        <v>240</v>
      </c>
      <c r="C14" s="2" t="s">
        <v>37</v>
      </c>
      <c r="D14" s="2" t="s">
        <v>37</v>
      </c>
      <c r="E14" s="2" t="s">
        <v>37</v>
      </c>
      <c r="F14" s="2" t="s">
        <v>37</v>
      </c>
      <c r="G14" s="4" t="s">
        <v>74</v>
      </c>
      <c r="H14" s="2" t="s">
        <v>37</v>
      </c>
      <c r="I14" s="2" t="s">
        <v>37</v>
      </c>
      <c r="J14" s="2" t="s">
        <v>74</v>
      </c>
      <c r="K14" s="2" t="s">
        <v>37</v>
      </c>
      <c r="L14" s="2" t="s">
        <v>75</v>
      </c>
      <c r="M14" s="2" t="s">
        <v>37</v>
      </c>
    </row>
    <row r="15" spans="1:29" ht="15" thickBot="1">
      <c r="A15" s="1" t="s">
        <v>76</v>
      </c>
      <c r="B15" s="5" t="s">
        <v>241</v>
      </c>
      <c r="C15" s="3" t="s">
        <v>38</v>
      </c>
      <c r="D15" s="2" t="s">
        <v>77</v>
      </c>
      <c r="E15" s="2" t="s">
        <v>78</v>
      </c>
      <c r="F15" s="2" t="s">
        <v>79</v>
      </c>
      <c r="G15" s="2" t="s">
        <v>39</v>
      </c>
      <c r="H15" s="2" t="s">
        <v>80</v>
      </c>
      <c r="I15" s="2" t="s">
        <v>81</v>
      </c>
      <c r="J15" s="2" t="s">
        <v>40</v>
      </c>
      <c r="K15" s="2" t="s">
        <v>82</v>
      </c>
      <c r="L15" s="2" t="s">
        <v>41</v>
      </c>
      <c r="M15" s="2" t="s">
        <v>37</v>
      </c>
    </row>
    <row r="16" spans="1:29" ht="15" thickBot="1">
      <c r="A16" s="1" t="s">
        <v>76</v>
      </c>
      <c r="B16" s="5" t="s">
        <v>242</v>
      </c>
      <c r="C16" s="3" t="s">
        <v>42</v>
      </c>
      <c r="D16" s="2" t="s">
        <v>83</v>
      </c>
      <c r="E16" s="2" t="s">
        <v>84</v>
      </c>
      <c r="F16" s="2" t="s">
        <v>85</v>
      </c>
      <c r="G16" s="2" t="s">
        <v>43</v>
      </c>
      <c r="H16" s="2" t="s">
        <v>86</v>
      </c>
      <c r="I16" s="2" t="s">
        <v>87</v>
      </c>
      <c r="J16" s="2" t="s">
        <v>44</v>
      </c>
      <c r="K16" s="2" t="s">
        <v>88</v>
      </c>
      <c r="L16" s="2" t="s">
        <v>11</v>
      </c>
      <c r="M16" s="2" t="s">
        <v>37</v>
      </c>
    </row>
    <row r="17" spans="1:21" ht="15" thickBot="1">
      <c r="A17" s="1" t="s">
        <v>76</v>
      </c>
      <c r="B17" s="5" t="s">
        <v>243</v>
      </c>
      <c r="C17" s="3" t="s">
        <v>37</v>
      </c>
      <c r="D17" s="2" t="s">
        <v>27</v>
      </c>
      <c r="E17" s="2" t="s">
        <v>37</v>
      </c>
      <c r="F17" s="2" t="s">
        <v>27</v>
      </c>
      <c r="G17" s="2" t="s">
        <v>89</v>
      </c>
      <c r="H17" s="2" t="s">
        <v>46</v>
      </c>
      <c r="I17" s="2" t="s">
        <v>90</v>
      </c>
      <c r="J17" s="2" t="s">
        <v>91</v>
      </c>
      <c r="K17" s="2" t="s">
        <v>47</v>
      </c>
      <c r="L17" s="2" t="s">
        <v>37</v>
      </c>
      <c r="M17" s="2" t="s">
        <v>37</v>
      </c>
      <c r="O17" s="27" t="s">
        <v>187</v>
      </c>
      <c r="P17" s="25" t="s">
        <v>116</v>
      </c>
      <c r="Q17" s="25" t="s">
        <v>190</v>
      </c>
      <c r="R17" s="25" t="s">
        <v>191</v>
      </c>
      <c r="S17" s="25" t="s">
        <v>192</v>
      </c>
      <c r="T17" s="25" t="s">
        <v>193</v>
      </c>
      <c r="U17" s="25" t="s">
        <v>194</v>
      </c>
    </row>
    <row r="18" spans="1:21" ht="15" thickBot="1">
      <c r="A18" s="1" t="s">
        <v>76</v>
      </c>
      <c r="B18" s="5" t="s">
        <v>244</v>
      </c>
      <c r="C18" s="2" t="s">
        <v>37</v>
      </c>
      <c r="D18" s="3" t="s">
        <v>27</v>
      </c>
      <c r="E18" s="2" t="s">
        <v>37</v>
      </c>
      <c r="F18" s="2" t="s">
        <v>27</v>
      </c>
      <c r="G18" s="3" t="s">
        <v>92</v>
      </c>
      <c r="H18" s="2" t="s">
        <v>93</v>
      </c>
      <c r="I18" s="2" t="s">
        <v>24</v>
      </c>
      <c r="J18" s="2" t="s">
        <v>94</v>
      </c>
      <c r="K18" s="2" t="s">
        <v>95</v>
      </c>
      <c r="L18" s="2" t="s">
        <v>24</v>
      </c>
      <c r="M18" s="2" t="s">
        <v>37</v>
      </c>
      <c r="O18" s="15" t="s">
        <v>292</v>
      </c>
      <c r="P18" s="34">
        <v>15.4</v>
      </c>
      <c r="Q18" s="34">
        <v>15.61</v>
      </c>
      <c r="R18" s="34">
        <v>15.82</v>
      </c>
      <c r="S18" s="34">
        <v>16.03</v>
      </c>
      <c r="T18" s="34">
        <v>16.239999999999998</v>
      </c>
      <c r="U18" s="34">
        <v>16.45</v>
      </c>
    </row>
    <row r="19" spans="1:21" ht="15" thickBot="1">
      <c r="A19" s="1" t="s">
        <v>35</v>
      </c>
      <c r="B19" s="5" t="s">
        <v>245</v>
      </c>
      <c r="C19" s="3" t="s">
        <v>13</v>
      </c>
      <c r="D19" s="3" t="s">
        <v>14</v>
      </c>
      <c r="E19" s="2" t="s">
        <v>15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2" t="s">
        <v>22</v>
      </c>
    </row>
    <row r="20" spans="1:21" ht="15" thickBot="1">
      <c r="A20" s="1" t="s">
        <v>36</v>
      </c>
      <c r="B20" s="5" t="s">
        <v>246</v>
      </c>
      <c r="C20" s="2" t="s">
        <v>23</v>
      </c>
      <c r="D20" s="3" t="s">
        <v>24</v>
      </c>
      <c r="E20" s="2" t="s">
        <v>27</v>
      </c>
      <c r="F20" s="2" t="s">
        <v>27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27</v>
      </c>
      <c r="M20" s="2" t="s">
        <v>27</v>
      </c>
    </row>
    <row r="21" spans="1:21" ht="15" thickBot="1">
      <c r="A21" s="1" t="s">
        <v>36</v>
      </c>
      <c r="B21" s="5" t="s">
        <v>247</v>
      </c>
      <c r="C21" s="2" t="s">
        <v>25</v>
      </c>
      <c r="D21" s="3" t="s">
        <v>26</v>
      </c>
      <c r="E21" s="2" t="s">
        <v>27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</row>
    <row r="22" spans="1:21" ht="15" thickBot="1">
      <c r="A22" s="1" t="s">
        <v>36</v>
      </c>
      <c r="B22" s="5" t="s">
        <v>248</v>
      </c>
      <c r="C22" s="2" t="s">
        <v>37</v>
      </c>
      <c r="D22" s="3" t="s">
        <v>27</v>
      </c>
      <c r="E22" s="2" t="s">
        <v>37</v>
      </c>
      <c r="F22" s="2" t="s">
        <v>27</v>
      </c>
      <c r="G22" s="2" t="s">
        <v>37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27</v>
      </c>
      <c r="M22" s="2" t="s">
        <v>27</v>
      </c>
    </row>
    <row r="28" spans="1:21">
      <c r="O28" s="27" t="s">
        <v>187</v>
      </c>
      <c r="P28" s="25" t="s">
        <v>116</v>
      </c>
      <c r="Q28" s="25" t="s">
        <v>190</v>
      </c>
      <c r="R28" s="25" t="s">
        <v>191</v>
      </c>
      <c r="S28" s="25" t="s">
        <v>192</v>
      </c>
      <c r="T28" s="25" t="s">
        <v>193</v>
      </c>
      <c r="U28" s="25" t="s">
        <v>194</v>
      </c>
    </row>
    <row r="29" spans="1:21">
      <c r="O29" s="27" t="s">
        <v>291</v>
      </c>
      <c r="P29" s="26">
        <v>0.97</v>
      </c>
      <c r="Q29" s="26">
        <v>1</v>
      </c>
      <c r="R29" s="26">
        <v>1.02</v>
      </c>
      <c r="S29" s="26">
        <v>1.05</v>
      </c>
      <c r="T29" s="26">
        <v>1.08</v>
      </c>
      <c r="U29" s="26">
        <v>1.1100000000000001</v>
      </c>
    </row>
    <row r="38" spans="15:21">
      <c r="O38" s="29" t="s">
        <v>187</v>
      </c>
      <c r="P38" s="28">
        <v>2025</v>
      </c>
      <c r="Q38" s="28">
        <v>2026</v>
      </c>
      <c r="R38" s="28">
        <v>2027</v>
      </c>
      <c r="S38" s="28">
        <v>2028</v>
      </c>
      <c r="T38" s="28">
        <v>2029</v>
      </c>
      <c r="U38" s="28">
        <v>2030</v>
      </c>
    </row>
    <row r="39" spans="15:21">
      <c r="O39" s="32" t="s">
        <v>290</v>
      </c>
      <c r="P39" s="26">
        <v>48.9</v>
      </c>
      <c r="Q39" s="26">
        <v>51.6</v>
      </c>
      <c r="R39" s="26">
        <v>54.3</v>
      </c>
      <c r="S39" s="26">
        <v>57</v>
      </c>
      <c r="T39" s="26">
        <v>59.6</v>
      </c>
      <c r="U39" s="26">
        <v>62.2</v>
      </c>
    </row>
    <row r="54" spans="15:21">
      <c r="O54" s="27" t="s">
        <v>187</v>
      </c>
      <c r="P54" s="30">
        <v>2025</v>
      </c>
      <c r="Q54" s="30">
        <v>2026</v>
      </c>
      <c r="R54" s="30">
        <v>2027</v>
      </c>
      <c r="S54" s="30">
        <v>2028</v>
      </c>
      <c r="T54" s="30">
        <v>2029</v>
      </c>
      <c r="U54" s="30">
        <v>2030</v>
      </c>
    </row>
    <row r="55" spans="15:21">
      <c r="O55" s="27" t="s">
        <v>206</v>
      </c>
      <c r="P55" s="26">
        <v>97.8</v>
      </c>
      <c r="Q55" s="26">
        <v>98.9</v>
      </c>
      <c r="R55" s="26">
        <v>100</v>
      </c>
      <c r="S55" s="26">
        <v>100</v>
      </c>
      <c r="T55" s="26">
        <v>100</v>
      </c>
      <c r="U55" s="26">
        <v>100</v>
      </c>
    </row>
    <row r="66" spans="15:21">
      <c r="O66" s="28" t="s">
        <v>187</v>
      </c>
      <c r="P66" s="28">
        <v>2025</v>
      </c>
      <c r="Q66" s="28">
        <v>2026</v>
      </c>
      <c r="R66" s="28">
        <v>2027</v>
      </c>
      <c r="S66" s="28">
        <v>2028</v>
      </c>
      <c r="T66" s="28">
        <v>2029</v>
      </c>
      <c r="U66" s="28">
        <v>2030</v>
      </c>
    </row>
    <row r="67" spans="15:21">
      <c r="O67" s="26" t="s">
        <v>201</v>
      </c>
      <c r="P67" s="26">
        <v>86.64</v>
      </c>
      <c r="Q67" s="26">
        <v>87.85</v>
      </c>
      <c r="R67" s="26">
        <v>89.06</v>
      </c>
      <c r="S67" s="26">
        <v>90.27</v>
      </c>
      <c r="T67" s="26">
        <v>91.48</v>
      </c>
      <c r="U67" s="26">
        <v>92.7</v>
      </c>
    </row>
    <row r="81" spans="15:21">
      <c r="O81" s="37" t="s">
        <v>187</v>
      </c>
      <c r="P81" s="38">
        <v>2025</v>
      </c>
      <c r="Q81" s="38">
        <v>2026</v>
      </c>
      <c r="R81" s="38">
        <v>2027</v>
      </c>
      <c r="S81" s="38">
        <v>2028</v>
      </c>
      <c r="T81" s="38">
        <v>2029</v>
      </c>
      <c r="U81" s="38">
        <v>2030</v>
      </c>
    </row>
    <row r="82" spans="15:21">
      <c r="O82" s="37" t="s">
        <v>268</v>
      </c>
      <c r="P82" s="43">
        <v>16.796126999999998</v>
      </c>
      <c r="Q82" s="43">
        <v>17.142842000000002</v>
      </c>
      <c r="R82" s="43">
        <v>17.435765</v>
      </c>
      <c r="S82" s="43">
        <v>17.683243999999998</v>
      </c>
      <c r="T82" s="43">
        <v>17.892327000000002</v>
      </c>
      <c r="U82" s="43">
        <v>18.068973</v>
      </c>
    </row>
    <row r="100" spans="15:22">
      <c r="O100" s="12" t="s">
        <v>187</v>
      </c>
      <c r="P100" s="12" t="s">
        <v>97</v>
      </c>
      <c r="Q100" s="32">
        <v>2025</v>
      </c>
      <c r="R100" s="32">
        <v>2026</v>
      </c>
      <c r="S100" s="32">
        <v>2027</v>
      </c>
      <c r="T100" s="32">
        <v>2028</v>
      </c>
      <c r="U100" s="32">
        <v>2029</v>
      </c>
      <c r="V100" s="32">
        <v>2030</v>
      </c>
    </row>
    <row r="101" spans="15:22">
      <c r="O101" s="12" t="s">
        <v>188</v>
      </c>
      <c r="P101" s="12" t="s">
        <v>99</v>
      </c>
      <c r="Q101" s="32">
        <v>106.3</v>
      </c>
      <c r="R101" s="32">
        <v>107.44</v>
      </c>
      <c r="S101" s="32">
        <v>108.58</v>
      </c>
      <c r="T101" s="32">
        <v>109.73</v>
      </c>
      <c r="U101" s="32">
        <v>110.87</v>
      </c>
      <c r="V101" s="32">
        <v>112.01</v>
      </c>
    </row>
    <row r="117" spans="15:16">
      <c r="O117" s="10" t="s">
        <v>187</v>
      </c>
      <c r="P117" s="10" t="s">
        <v>286</v>
      </c>
    </row>
    <row r="118" spans="15:16">
      <c r="O118" s="9" t="s">
        <v>116</v>
      </c>
      <c r="P118" s="9">
        <v>98.2</v>
      </c>
    </row>
    <row r="119" spans="15:16">
      <c r="O119" s="9" t="s">
        <v>190</v>
      </c>
      <c r="P119" s="9">
        <v>99.5</v>
      </c>
    </row>
    <row r="120" spans="15:16">
      <c r="O120" s="9" t="s">
        <v>191</v>
      </c>
      <c r="P120" s="9">
        <v>100</v>
      </c>
    </row>
    <row r="121" spans="15:16">
      <c r="O121" s="9" t="s">
        <v>192</v>
      </c>
      <c r="P121" s="9">
        <v>100</v>
      </c>
    </row>
    <row r="122" spans="15:16">
      <c r="O122" s="9" t="s">
        <v>193</v>
      </c>
      <c r="P122" s="9">
        <v>100</v>
      </c>
    </row>
    <row r="123" spans="15:16">
      <c r="O123" s="9" t="s">
        <v>194</v>
      </c>
      <c r="P123" s="9">
        <v>100</v>
      </c>
    </row>
    <row r="132" spans="15:16">
      <c r="O132" s="10" t="s">
        <v>187</v>
      </c>
      <c r="P132" s="10" t="s">
        <v>195</v>
      </c>
    </row>
    <row r="133" spans="15:16">
      <c r="O133" s="9" t="s">
        <v>116</v>
      </c>
      <c r="P133" s="9">
        <v>86.6</v>
      </c>
    </row>
    <row r="134" spans="15:16">
      <c r="O134" s="9" t="s">
        <v>190</v>
      </c>
      <c r="P134" s="9">
        <v>88</v>
      </c>
    </row>
    <row r="135" spans="15:16">
      <c r="O135" s="9" t="s">
        <v>191</v>
      </c>
      <c r="P135" s="9">
        <v>89.4</v>
      </c>
    </row>
    <row r="136" spans="15:16">
      <c r="O136" s="9" t="s">
        <v>192</v>
      </c>
      <c r="P136" s="9">
        <v>90.8</v>
      </c>
    </row>
    <row r="137" spans="15:16">
      <c r="O137" s="9" t="s">
        <v>193</v>
      </c>
      <c r="P137" s="9">
        <v>92.1</v>
      </c>
    </row>
    <row r="138" spans="15:16">
      <c r="O138" s="9" t="s">
        <v>194</v>
      </c>
      <c r="P138" s="9">
        <v>93.4</v>
      </c>
    </row>
    <row r="146" spans="15:16">
      <c r="O146" s="10" t="s">
        <v>187</v>
      </c>
      <c r="P146" s="10" t="s">
        <v>289</v>
      </c>
    </row>
    <row r="147" spans="15:16">
      <c r="O147" s="9" t="s">
        <v>116</v>
      </c>
      <c r="P147" s="9">
        <v>1.006</v>
      </c>
    </row>
    <row r="148" spans="15:16">
      <c r="O148" s="9" t="s">
        <v>190</v>
      </c>
      <c r="P148" s="9">
        <v>1.0089999999999999</v>
      </c>
    </row>
    <row r="149" spans="15:16">
      <c r="O149" s="9" t="s">
        <v>191</v>
      </c>
      <c r="P149" s="9">
        <v>1.0109999999999999</v>
      </c>
    </row>
    <row r="150" spans="15:16">
      <c r="O150" s="9" t="s">
        <v>192</v>
      </c>
      <c r="P150" s="9">
        <v>1.014</v>
      </c>
    </row>
    <row r="151" spans="15:16">
      <c r="O151" s="9" t="s">
        <v>193</v>
      </c>
      <c r="P151" s="9">
        <v>1.016</v>
      </c>
    </row>
    <row r="152" spans="15:16">
      <c r="O152" s="9" t="s">
        <v>194</v>
      </c>
      <c r="P152" s="9">
        <v>1.018</v>
      </c>
    </row>
    <row r="161" spans="15:16" ht="15" customHeight="1">
      <c r="O161" s="10" t="s">
        <v>187</v>
      </c>
      <c r="P161" s="10" t="s">
        <v>295</v>
      </c>
    </row>
    <row r="162" spans="15:16">
      <c r="O162" s="9" t="s">
        <v>116</v>
      </c>
      <c r="P162" s="9">
        <v>38.9</v>
      </c>
    </row>
    <row r="163" spans="15:16">
      <c r="O163" s="9" t="s">
        <v>190</v>
      </c>
      <c r="P163" s="9">
        <v>39.9</v>
      </c>
    </row>
    <row r="164" spans="15:16">
      <c r="O164" s="9" t="s">
        <v>191</v>
      </c>
      <c r="P164" s="9">
        <v>40.9</v>
      </c>
    </row>
    <row r="165" spans="15:16">
      <c r="O165" s="9" t="s">
        <v>192</v>
      </c>
      <c r="P165" s="9">
        <v>41.9</v>
      </c>
    </row>
    <row r="166" spans="15:16">
      <c r="O166" s="9" t="s">
        <v>193</v>
      </c>
      <c r="P166" s="9">
        <v>42.8</v>
      </c>
    </row>
    <row r="167" spans="15:16">
      <c r="O167" s="9" t="s">
        <v>194</v>
      </c>
      <c r="P167" s="9">
        <v>43.7</v>
      </c>
    </row>
  </sheetData>
  <mergeCells count="2">
    <mergeCell ref="A1:M3"/>
    <mergeCell ref="O1:AC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C477-DA96-45B7-BCD9-715C6BA5DF84}">
  <sheetPr codeName="Feuil3"/>
  <dimension ref="A1:M24"/>
  <sheetViews>
    <sheetView tabSelected="1" topLeftCell="F7" workbookViewId="0">
      <selection activeCell="J14" sqref="J14:M24"/>
    </sheetView>
  </sheetViews>
  <sheetFormatPr baseColWidth="10" defaultRowHeight="14.5"/>
  <cols>
    <col min="1" max="1" width="28" customWidth="1"/>
    <col min="8" max="8" width="35.81640625" customWidth="1"/>
    <col min="10" max="10" width="27.90625" customWidth="1"/>
    <col min="11" max="11" width="19.6328125" customWidth="1"/>
    <col min="12" max="12" width="34.6328125" customWidth="1"/>
  </cols>
  <sheetData>
    <row r="1" spans="1:13">
      <c r="A1" s="15" t="s">
        <v>187</v>
      </c>
      <c r="B1" s="25">
        <v>2025</v>
      </c>
      <c r="C1" s="25">
        <v>2026</v>
      </c>
      <c r="D1" s="25">
        <v>2027</v>
      </c>
      <c r="E1" s="25">
        <v>2028</v>
      </c>
      <c r="F1" s="25">
        <v>2029</v>
      </c>
      <c r="G1" s="25">
        <v>2030</v>
      </c>
      <c r="H1" s="10" t="s">
        <v>305</v>
      </c>
      <c r="J1" s="89" t="s">
        <v>318</v>
      </c>
      <c r="K1" s="90"/>
      <c r="L1" s="90"/>
      <c r="M1" s="91"/>
    </row>
    <row r="2" spans="1:13" ht="16.5" customHeight="1">
      <c r="A2" s="15" t="s">
        <v>203</v>
      </c>
      <c r="B2" s="26">
        <v>106.3</v>
      </c>
      <c r="C2" s="26">
        <v>107.44</v>
      </c>
      <c r="D2" s="26">
        <v>108.58</v>
      </c>
      <c r="E2" s="26">
        <v>109.73</v>
      </c>
      <c r="F2" s="26">
        <v>110.87</v>
      </c>
      <c r="G2" s="26">
        <v>112.01</v>
      </c>
      <c r="H2" s="9" t="s">
        <v>311</v>
      </c>
      <c r="J2" s="15" t="s">
        <v>317</v>
      </c>
      <c r="K2" s="15" t="s">
        <v>316</v>
      </c>
      <c r="L2" s="30" t="s">
        <v>305</v>
      </c>
      <c r="M2" s="31"/>
    </row>
    <row r="3" spans="1:13">
      <c r="A3" s="27" t="s">
        <v>197</v>
      </c>
      <c r="B3" s="26">
        <v>98.2</v>
      </c>
      <c r="C3" s="26">
        <v>99.5</v>
      </c>
      <c r="D3" s="26">
        <v>100</v>
      </c>
      <c r="E3" s="26">
        <v>100</v>
      </c>
      <c r="F3" s="26">
        <v>100</v>
      </c>
      <c r="G3" s="26">
        <v>100</v>
      </c>
      <c r="H3" s="9" t="s">
        <v>312</v>
      </c>
      <c r="J3" s="15" t="s">
        <v>203</v>
      </c>
      <c r="K3" s="26">
        <v>112.01</v>
      </c>
      <c r="L3" s="26" t="s">
        <v>311</v>
      </c>
      <c r="M3" s="60" t="s">
        <v>320</v>
      </c>
    </row>
    <row r="4" spans="1:13">
      <c r="A4" s="27" t="s">
        <v>202</v>
      </c>
      <c r="B4" s="26">
        <v>86.6</v>
      </c>
      <c r="C4" s="26">
        <v>88</v>
      </c>
      <c r="D4" s="26">
        <v>89.4</v>
      </c>
      <c r="E4" s="26">
        <v>90.8</v>
      </c>
      <c r="F4" s="26">
        <v>92.1</v>
      </c>
      <c r="G4" s="26">
        <v>93.4</v>
      </c>
      <c r="H4" s="57">
        <v>1</v>
      </c>
      <c r="J4" s="27" t="s">
        <v>197</v>
      </c>
      <c r="K4" s="26">
        <v>100</v>
      </c>
      <c r="L4" s="26" t="s">
        <v>312</v>
      </c>
      <c r="M4" s="60" t="s">
        <v>320</v>
      </c>
    </row>
    <row r="5" spans="1:13">
      <c r="A5" s="27" t="s">
        <v>196</v>
      </c>
      <c r="B5" s="26">
        <v>1.006</v>
      </c>
      <c r="C5" s="26">
        <v>1.0089999999999999</v>
      </c>
      <c r="D5" s="26">
        <v>1.0109999999999999</v>
      </c>
      <c r="E5" s="26">
        <v>1.014</v>
      </c>
      <c r="F5" s="26">
        <v>1.016</v>
      </c>
      <c r="G5" s="26">
        <v>1.018</v>
      </c>
      <c r="H5" s="9" t="s">
        <v>307</v>
      </c>
      <c r="J5" s="27" t="s">
        <v>202</v>
      </c>
      <c r="K5" s="26">
        <v>93.4</v>
      </c>
      <c r="L5" s="58">
        <v>1</v>
      </c>
      <c r="M5" s="61" t="s">
        <v>321</v>
      </c>
    </row>
    <row r="6" spans="1:13" ht="14" customHeight="1">
      <c r="A6" s="27" t="s">
        <v>204</v>
      </c>
      <c r="B6" s="26">
        <v>38.9</v>
      </c>
      <c r="C6" s="26">
        <v>39.9</v>
      </c>
      <c r="D6" s="26">
        <v>40.9</v>
      </c>
      <c r="E6" s="26">
        <v>41.9</v>
      </c>
      <c r="F6" s="26">
        <v>42.8</v>
      </c>
      <c r="G6" s="26">
        <v>43.7</v>
      </c>
      <c r="H6" s="9" t="s">
        <v>313</v>
      </c>
      <c r="J6" s="27" t="s">
        <v>196</v>
      </c>
      <c r="K6" s="26">
        <v>1.018</v>
      </c>
      <c r="L6" s="26" t="s">
        <v>307</v>
      </c>
      <c r="M6" s="60" t="s">
        <v>320</v>
      </c>
    </row>
    <row r="7" spans="1:13">
      <c r="A7" s="25" t="s">
        <v>198</v>
      </c>
      <c r="B7" s="26">
        <v>100</v>
      </c>
      <c r="C7" s="26">
        <v>100</v>
      </c>
      <c r="D7" s="26">
        <v>100</v>
      </c>
      <c r="E7" s="26">
        <v>100</v>
      </c>
      <c r="F7" s="26">
        <v>100</v>
      </c>
      <c r="G7" s="26">
        <v>100</v>
      </c>
      <c r="H7" s="57">
        <v>1</v>
      </c>
      <c r="J7" s="27" t="s">
        <v>204</v>
      </c>
      <c r="K7" s="26">
        <v>43.7</v>
      </c>
      <c r="L7" s="26" t="s">
        <v>313</v>
      </c>
      <c r="M7" s="31" t="s">
        <v>322</v>
      </c>
    </row>
    <row r="8" spans="1:13">
      <c r="A8" s="25" t="s">
        <v>201</v>
      </c>
      <c r="B8" s="26">
        <v>86.64</v>
      </c>
      <c r="C8" s="26">
        <v>87.85</v>
      </c>
      <c r="D8" s="26">
        <v>89.06</v>
      </c>
      <c r="E8" s="26">
        <v>90.27</v>
      </c>
      <c r="F8" s="26">
        <v>91.48</v>
      </c>
      <c r="G8" s="26">
        <v>92.7</v>
      </c>
      <c r="H8" s="9" t="s">
        <v>315</v>
      </c>
      <c r="J8" s="25" t="s">
        <v>198</v>
      </c>
      <c r="K8" s="26">
        <v>100</v>
      </c>
      <c r="L8" s="58">
        <v>1</v>
      </c>
      <c r="M8" s="62" t="s">
        <v>320</v>
      </c>
    </row>
    <row r="9" spans="1:13" ht="15.5" customHeight="1">
      <c r="A9" s="55" t="s">
        <v>300</v>
      </c>
      <c r="B9" s="53">
        <v>47</v>
      </c>
      <c r="C9" s="54">
        <v>45.386645000000001</v>
      </c>
      <c r="D9" s="54">
        <v>43.364445000000003</v>
      </c>
      <c r="E9" s="54">
        <v>41.933053000000001</v>
      </c>
      <c r="F9" s="54">
        <v>41.521768000000002</v>
      </c>
      <c r="G9" s="54">
        <v>41.985087</v>
      </c>
      <c r="H9" s="9" t="s">
        <v>314</v>
      </c>
      <c r="J9" s="25" t="s">
        <v>201</v>
      </c>
      <c r="K9" s="26">
        <v>92.7</v>
      </c>
      <c r="L9" s="26" t="s">
        <v>315</v>
      </c>
      <c r="M9" s="63" t="s">
        <v>320</v>
      </c>
    </row>
    <row r="10" spans="1:13" ht="14" customHeight="1">
      <c r="A10" s="55" t="s">
        <v>301</v>
      </c>
      <c r="B10" s="53">
        <v>68</v>
      </c>
      <c r="C10" s="54">
        <v>64.046501000000006</v>
      </c>
      <c r="D10" s="54">
        <v>61.743684000000002</v>
      </c>
      <c r="E10" s="54">
        <v>60.402349000000001</v>
      </c>
      <c r="F10" s="54">
        <v>59.621054000000001</v>
      </c>
      <c r="G10" s="54">
        <v>59.165968999999997</v>
      </c>
      <c r="H10" s="57">
        <v>1</v>
      </c>
      <c r="J10" s="27" t="s">
        <v>300</v>
      </c>
      <c r="K10" s="59">
        <v>41.985087</v>
      </c>
      <c r="L10" s="26" t="s">
        <v>314</v>
      </c>
      <c r="M10" s="31" t="s">
        <v>322</v>
      </c>
    </row>
    <row r="11" spans="1:13">
      <c r="A11" s="55" t="s">
        <v>302</v>
      </c>
      <c r="B11" s="53">
        <v>66.599999999999994</v>
      </c>
      <c r="C11" s="54">
        <v>76.129091000000003</v>
      </c>
      <c r="D11" s="54">
        <v>80.880909000000003</v>
      </c>
      <c r="E11" s="54">
        <v>85.632727000000003</v>
      </c>
      <c r="F11" s="54">
        <v>90.384545000000003</v>
      </c>
      <c r="G11" s="54">
        <v>95.136364</v>
      </c>
      <c r="H11" s="57">
        <v>1</v>
      </c>
      <c r="J11" s="27" t="s">
        <v>301</v>
      </c>
      <c r="K11" s="59">
        <v>59.165968999999997</v>
      </c>
      <c r="L11" s="58">
        <v>1</v>
      </c>
      <c r="M11" s="61" t="s">
        <v>321</v>
      </c>
    </row>
    <row r="12" spans="1:13">
      <c r="J12" s="27" t="s">
        <v>319</v>
      </c>
      <c r="K12" s="59">
        <v>95.136364</v>
      </c>
      <c r="L12" s="58">
        <v>1</v>
      </c>
      <c r="M12" s="61" t="s">
        <v>321</v>
      </c>
    </row>
    <row r="13" spans="1:13" ht="15" customHeight="1">
      <c r="A13" s="27" t="s">
        <v>187</v>
      </c>
      <c r="B13" s="25">
        <v>2025</v>
      </c>
      <c r="C13" s="25">
        <v>2026</v>
      </c>
      <c r="D13" s="25">
        <v>2027</v>
      </c>
      <c r="E13" s="25">
        <v>2028</v>
      </c>
      <c r="F13" s="25">
        <v>2029</v>
      </c>
      <c r="G13" s="25">
        <v>2030</v>
      </c>
      <c r="H13" s="10" t="s">
        <v>305</v>
      </c>
    </row>
    <row r="14" spans="1:13">
      <c r="A14" s="47" t="s">
        <v>206</v>
      </c>
      <c r="B14" s="48">
        <v>97.8</v>
      </c>
      <c r="C14" s="48">
        <v>98.9</v>
      </c>
      <c r="D14" s="48">
        <v>100</v>
      </c>
      <c r="E14" s="48">
        <v>100</v>
      </c>
      <c r="F14" s="48">
        <v>100</v>
      </c>
      <c r="G14" s="48">
        <v>100</v>
      </c>
      <c r="H14" s="9" t="s">
        <v>306</v>
      </c>
      <c r="J14" s="92" t="s">
        <v>323</v>
      </c>
      <c r="K14" s="92"/>
      <c r="L14" s="92"/>
      <c r="M14" s="92"/>
    </row>
    <row r="15" spans="1:13">
      <c r="A15" s="25" t="s">
        <v>202</v>
      </c>
      <c r="B15" s="26">
        <v>48.9</v>
      </c>
      <c r="C15" s="45">
        <v>51.6</v>
      </c>
      <c r="D15" s="45">
        <v>54.3</v>
      </c>
      <c r="E15" s="45">
        <v>57</v>
      </c>
      <c r="F15" s="45">
        <v>59.6</v>
      </c>
      <c r="G15" s="45">
        <v>62.2</v>
      </c>
      <c r="H15" s="57">
        <v>1</v>
      </c>
      <c r="J15" s="27" t="s">
        <v>317</v>
      </c>
      <c r="K15" s="15" t="s">
        <v>316</v>
      </c>
      <c r="L15" s="30" t="s">
        <v>305</v>
      </c>
      <c r="M15" s="31"/>
    </row>
    <row r="16" spans="1:13">
      <c r="A16" s="47" t="s">
        <v>196</v>
      </c>
      <c r="B16" s="48">
        <v>0.97</v>
      </c>
      <c r="C16" s="48">
        <v>1</v>
      </c>
      <c r="D16" s="48">
        <v>1.02</v>
      </c>
      <c r="E16" s="48">
        <v>1.05</v>
      </c>
      <c r="F16" s="48">
        <v>1.08</v>
      </c>
      <c r="G16" s="48">
        <v>1.1100000000000001</v>
      </c>
      <c r="H16" s="9" t="s">
        <v>307</v>
      </c>
      <c r="J16" s="47" t="s">
        <v>206</v>
      </c>
      <c r="K16" s="48">
        <v>100</v>
      </c>
      <c r="L16" s="26" t="s">
        <v>306</v>
      </c>
      <c r="M16" s="62" t="s">
        <v>320</v>
      </c>
    </row>
    <row r="17" spans="1:13">
      <c r="A17" s="15" t="s">
        <v>219</v>
      </c>
      <c r="B17" s="42">
        <v>15.4</v>
      </c>
      <c r="C17" s="46">
        <v>15.61</v>
      </c>
      <c r="D17" s="46">
        <v>15.82</v>
      </c>
      <c r="E17" s="46">
        <v>16.03</v>
      </c>
      <c r="F17" s="46">
        <v>16.239999999999998</v>
      </c>
      <c r="G17" s="46">
        <v>16.45</v>
      </c>
      <c r="H17" s="9" t="s">
        <v>308</v>
      </c>
      <c r="J17" s="25" t="s">
        <v>202</v>
      </c>
      <c r="K17" s="45">
        <v>62.2</v>
      </c>
      <c r="L17" s="58">
        <v>1</v>
      </c>
      <c r="M17" s="61" t="s">
        <v>321</v>
      </c>
    </row>
    <row r="18" spans="1:13">
      <c r="A18" s="25" t="s">
        <v>198</v>
      </c>
      <c r="B18" s="26">
        <v>100</v>
      </c>
      <c r="C18" s="26">
        <v>100</v>
      </c>
      <c r="D18" s="26">
        <v>100</v>
      </c>
      <c r="E18" s="26">
        <v>100</v>
      </c>
      <c r="F18" s="26">
        <v>100</v>
      </c>
      <c r="G18" s="26">
        <v>100</v>
      </c>
      <c r="H18" s="57">
        <v>1</v>
      </c>
      <c r="J18" s="47" t="s">
        <v>196</v>
      </c>
      <c r="K18" s="48">
        <v>1.1100000000000001</v>
      </c>
      <c r="L18" s="26" t="s">
        <v>307</v>
      </c>
      <c r="M18" s="31" t="s">
        <v>322</v>
      </c>
    </row>
    <row r="19" spans="1:13">
      <c r="A19" s="15" t="s">
        <v>220</v>
      </c>
      <c r="B19" s="44">
        <v>51.41</v>
      </c>
      <c r="C19" s="44">
        <v>60.540494000000002</v>
      </c>
      <c r="D19" s="44">
        <v>64.631530999999995</v>
      </c>
      <c r="E19" s="44">
        <v>63.089768999999997</v>
      </c>
      <c r="F19" s="44">
        <v>57.469154000000003</v>
      </c>
      <c r="G19" s="44">
        <v>50.528184000000003</v>
      </c>
      <c r="H19" s="9" t="s">
        <v>309</v>
      </c>
      <c r="J19" s="15" t="s">
        <v>219</v>
      </c>
      <c r="K19" s="46">
        <v>16.45</v>
      </c>
      <c r="L19" s="26" t="s">
        <v>308</v>
      </c>
      <c r="M19" s="61" t="s">
        <v>321</v>
      </c>
    </row>
    <row r="20" spans="1:13">
      <c r="A20" s="15" t="s">
        <v>249</v>
      </c>
      <c r="B20" s="44">
        <v>16.796126999999998</v>
      </c>
      <c r="C20" s="44">
        <v>17.142842000000002</v>
      </c>
      <c r="D20" s="44">
        <v>17.435765</v>
      </c>
      <c r="E20" s="44">
        <v>17.683243999999998</v>
      </c>
      <c r="F20" s="44">
        <v>17.892327000000002</v>
      </c>
      <c r="G20" s="44">
        <v>18.068973</v>
      </c>
      <c r="H20" s="9" t="s">
        <v>310</v>
      </c>
      <c r="J20" s="25" t="s">
        <v>198</v>
      </c>
      <c r="K20" s="26">
        <v>100</v>
      </c>
      <c r="L20" s="58">
        <v>1</v>
      </c>
      <c r="M20" s="31" t="s">
        <v>320</v>
      </c>
    </row>
    <row r="21" spans="1:13">
      <c r="A21" s="55" t="s">
        <v>303</v>
      </c>
      <c r="B21" s="38">
        <v>69.400000000000006</v>
      </c>
      <c r="C21" s="56">
        <v>82.566666999999995</v>
      </c>
      <c r="D21" s="56">
        <v>82.566666999999995</v>
      </c>
      <c r="E21" s="56">
        <v>82.566666999999995</v>
      </c>
      <c r="F21" s="56">
        <v>82.566666999999995</v>
      </c>
      <c r="G21" s="56">
        <v>82.566666999999995</v>
      </c>
      <c r="H21" s="57">
        <v>1</v>
      </c>
      <c r="J21" s="15" t="s">
        <v>220</v>
      </c>
      <c r="K21" s="44">
        <v>50.528184000000003</v>
      </c>
      <c r="L21" s="26" t="s">
        <v>309</v>
      </c>
      <c r="M21" s="61" t="s">
        <v>321</v>
      </c>
    </row>
    <row r="22" spans="1:13">
      <c r="A22" s="55" t="s">
        <v>304</v>
      </c>
      <c r="B22" s="38">
        <v>91.3</v>
      </c>
      <c r="C22" s="56">
        <v>85.5</v>
      </c>
      <c r="D22" s="56">
        <v>85.5</v>
      </c>
      <c r="E22" s="56">
        <v>85.5</v>
      </c>
      <c r="F22" s="56">
        <v>85.5</v>
      </c>
      <c r="G22" s="56">
        <v>85.5</v>
      </c>
      <c r="H22" s="57">
        <v>1</v>
      </c>
      <c r="J22" s="15" t="s">
        <v>249</v>
      </c>
      <c r="K22" s="44">
        <v>18.068973</v>
      </c>
      <c r="L22" s="26" t="s">
        <v>310</v>
      </c>
      <c r="M22" s="61" t="s">
        <v>321</v>
      </c>
    </row>
    <row r="23" spans="1:13">
      <c r="J23" s="27" t="s">
        <v>303</v>
      </c>
      <c r="K23" s="44">
        <v>82.566666999999995</v>
      </c>
      <c r="L23" s="58">
        <v>1</v>
      </c>
      <c r="M23" s="61" t="s">
        <v>321</v>
      </c>
    </row>
    <row r="24" spans="1:13">
      <c r="J24" s="27" t="s">
        <v>304</v>
      </c>
      <c r="K24" s="44">
        <v>85.5</v>
      </c>
      <c r="L24" s="58">
        <v>1</v>
      </c>
      <c r="M24" s="61" t="s">
        <v>321</v>
      </c>
    </row>
  </sheetData>
  <mergeCells count="2">
    <mergeCell ref="J1:M1"/>
    <mergeCell ref="J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Projection</vt:lpstr>
      <vt:lpstr>Synthèse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 Mbodj</dc:creator>
  <cp:lastModifiedBy>Anta Mbodj</cp:lastModifiedBy>
  <dcterms:created xsi:type="dcterms:W3CDTF">2025-12-21T12:20:40Z</dcterms:created>
  <dcterms:modified xsi:type="dcterms:W3CDTF">2026-01-16T10:50:19Z</dcterms:modified>
</cp:coreProperties>
</file>